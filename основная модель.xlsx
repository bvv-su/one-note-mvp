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ая\2026-02-27 Глобал финмодель исходные данные\20260310\"/>
    </mc:Choice>
  </mc:AlternateContent>
  <xr:revisionPtr revIDLastSave="0" documentId="13_ncr:1_{23EF1671-89CD-4114-B55D-83620C3E2609}" xr6:coauthVersionLast="47" xr6:coauthVersionMax="47" xr10:uidLastSave="{00000000-0000-0000-0000-000000000000}"/>
  <bookViews>
    <workbookView xWindow="-108" yWindow="-108" windowWidth="23256" windowHeight="12456" xr2:uid="{13783897-F1CB-48E1-88D8-0B02538032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6" i="1" l="1"/>
  <c r="N69" i="1"/>
  <c r="M69" i="1"/>
  <c r="L69" i="1"/>
  <c r="K69" i="1"/>
  <c r="J69" i="1"/>
  <c r="I69" i="1"/>
  <c r="H69" i="1"/>
  <c r="G69" i="1"/>
  <c r="F69" i="1"/>
  <c r="E69" i="1"/>
  <c r="N183" i="1"/>
  <c r="M183" i="1"/>
  <c r="L183" i="1"/>
  <c r="K183" i="1"/>
  <c r="J183" i="1"/>
  <c r="I183" i="1"/>
  <c r="H183" i="1"/>
  <c r="G183" i="1"/>
  <c r="F183" i="1"/>
  <c r="E183" i="1"/>
  <c r="J307" i="1" l="1"/>
  <c r="I307" i="1"/>
  <c r="H307" i="1"/>
  <c r="G307" i="1"/>
  <c r="F307" i="1"/>
  <c r="J303" i="1"/>
  <c r="I303" i="1"/>
  <c r="H303" i="1"/>
  <c r="G303" i="1"/>
  <c r="F303" i="1"/>
  <c r="J299" i="1"/>
  <c r="I299" i="1"/>
  <c r="H299" i="1"/>
  <c r="G299" i="1"/>
  <c r="F299" i="1"/>
  <c r="J298" i="1"/>
  <c r="I298" i="1"/>
  <c r="H298" i="1"/>
  <c r="G298" i="1"/>
  <c r="F298" i="1"/>
  <c r="N106" i="1"/>
  <c r="M106" i="1"/>
  <c r="L106" i="1"/>
  <c r="K106" i="1"/>
  <c r="J106" i="1"/>
  <c r="I106" i="1"/>
  <c r="H106" i="1"/>
  <c r="G106" i="1"/>
  <c r="F106" i="1"/>
  <c r="E106" i="1"/>
  <c r="E105" i="1"/>
  <c r="D266" i="1"/>
  <c r="D247" i="1"/>
  <c r="E287" i="1"/>
  <c r="D246" i="1"/>
  <c r="E277" i="1"/>
  <c r="D265" i="1"/>
  <c r="E258" i="1"/>
  <c r="E252" i="1"/>
  <c r="E271" i="1"/>
  <c r="E240" i="1"/>
  <c r="D71" i="1"/>
  <c r="N78" i="1"/>
  <c r="M78" i="1"/>
  <c r="L78" i="1"/>
  <c r="K78" i="1"/>
  <c r="J78" i="1"/>
  <c r="I78" i="1"/>
  <c r="H78" i="1"/>
  <c r="G78" i="1"/>
  <c r="F78" i="1"/>
  <c r="E78" i="1"/>
  <c r="N77" i="1"/>
  <c r="M77" i="1"/>
  <c r="L77" i="1"/>
  <c r="K77" i="1"/>
  <c r="J77" i="1"/>
  <c r="I77" i="1"/>
  <c r="H77" i="1"/>
  <c r="G77" i="1"/>
  <c r="F77" i="1"/>
  <c r="E77" i="1"/>
  <c r="N76" i="1"/>
  <c r="M76" i="1"/>
  <c r="L76" i="1"/>
  <c r="K76" i="1"/>
  <c r="J76" i="1"/>
  <c r="I76" i="1"/>
  <c r="H76" i="1"/>
  <c r="G76" i="1"/>
  <c r="F76" i="1"/>
  <c r="E76" i="1"/>
  <c r="N75" i="1"/>
  <c r="M75" i="1"/>
  <c r="L75" i="1"/>
  <c r="K75" i="1"/>
  <c r="J75" i="1"/>
  <c r="I75" i="1"/>
  <c r="H75" i="1"/>
  <c r="G75" i="1"/>
  <c r="F75" i="1"/>
  <c r="E75" i="1"/>
  <c r="N74" i="1"/>
  <c r="M74" i="1"/>
  <c r="L74" i="1"/>
  <c r="K74" i="1"/>
  <c r="J74" i="1"/>
  <c r="I74" i="1"/>
  <c r="H74" i="1"/>
  <c r="G74" i="1"/>
  <c r="F74" i="1"/>
  <c r="E74" i="1"/>
  <c r="N73" i="1"/>
  <c r="M73" i="1"/>
  <c r="L73" i="1"/>
  <c r="K73" i="1"/>
  <c r="J73" i="1"/>
  <c r="I73" i="1"/>
  <c r="H73" i="1"/>
  <c r="G73" i="1"/>
  <c r="F73" i="1"/>
  <c r="E73" i="1"/>
  <c r="N72" i="1"/>
  <c r="M72" i="1"/>
  <c r="L72" i="1"/>
  <c r="K72" i="1"/>
  <c r="J72" i="1"/>
  <c r="I72" i="1"/>
  <c r="H72" i="1"/>
  <c r="G72" i="1"/>
  <c r="F72" i="1"/>
  <c r="E72" i="1"/>
  <c r="N70" i="1"/>
  <c r="M70" i="1"/>
  <c r="L70" i="1"/>
  <c r="K70" i="1"/>
  <c r="J70" i="1"/>
  <c r="I70" i="1"/>
  <c r="H70" i="1"/>
  <c r="G70" i="1"/>
  <c r="F70" i="1"/>
  <c r="E70" i="1"/>
  <c r="N68" i="1"/>
  <c r="M68" i="1"/>
  <c r="L68" i="1"/>
  <c r="K68" i="1"/>
  <c r="J68" i="1"/>
  <c r="I68" i="1"/>
  <c r="H68" i="1"/>
  <c r="G68" i="1"/>
  <c r="F68" i="1"/>
  <c r="E68" i="1"/>
  <c r="N297" i="1"/>
  <c r="M297" i="1"/>
  <c r="L297" i="1"/>
  <c r="K297" i="1"/>
  <c r="J297" i="1"/>
  <c r="I297" i="1"/>
  <c r="H297" i="1"/>
  <c r="G297" i="1"/>
  <c r="F297" i="1"/>
  <c r="D189" i="1"/>
  <c r="G140" i="1"/>
  <c r="H138" i="1" s="1"/>
  <c r="H140" i="1" s="1"/>
  <c r="I138" i="1" s="1"/>
  <c r="I140" i="1" s="1"/>
  <c r="J138" i="1" s="1"/>
  <c r="J140" i="1" s="1"/>
  <c r="K138" i="1" s="1"/>
  <c r="K140" i="1" s="1"/>
  <c r="L138" i="1" s="1"/>
  <c r="L140" i="1" s="1"/>
  <c r="M138" i="1" s="1"/>
  <c r="M140" i="1" s="1"/>
  <c r="N138" i="1" s="1"/>
  <c r="N140" i="1" s="1"/>
  <c r="O138" i="1" s="1"/>
  <c r="O140" i="1" s="1"/>
  <c r="P138" i="1" s="1"/>
  <c r="P140" i="1" s="1"/>
  <c r="Q138" i="1" s="1"/>
  <c r="Q140" i="1" s="1"/>
  <c r="R138" i="1" s="1"/>
  <c r="R140" i="1" s="1"/>
  <c r="E112" i="1"/>
  <c r="F110" i="1" s="1"/>
  <c r="F112" i="1" s="1"/>
  <c r="G110" i="1" s="1"/>
  <c r="G112" i="1" s="1"/>
  <c r="H110" i="1" s="1"/>
  <c r="H112" i="1" s="1"/>
  <c r="I110" i="1" s="1"/>
  <c r="I112" i="1" s="1"/>
  <c r="J110" i="1" s="1"/>
  <c r="J112" i="1" s="1"/>
  <c r="K110" i="1" s="1"/>
  <c r="K112" i="1" s="1"/>
  <c r="L110" i="1" s="1"/>
  <c r="L112" i="1" s="1"/>
  <c r="M110" i="1" s="1"/>
  <c r="M112" i="1" s="1"/>
  <c r="N110" i="1" s="1"/>
  <c r="N112" i="1" s="1"/>
  <c r="O110" i="1" s="1"/>
  <c r="O112" i="1" s="1"/>
  <c r="P110" i="1" s="1"/>
  <c r="P112" i="1" s="1"/>
  <c r="Q110" i="1" s="1"/>
  <c r="Q112" i="1" s="1"/>
  <c r="R110" i="1" s="1"/>
  <c r="R112" i="1" s="1"/>
  <c r="S110" i="1" s="1"/>
  <c r="S112" i="1" s="1"/>
  <c r="E116" i="1"/>
  <c r="F114" i="1" s="1"/>
  <c r="F116" i="1" s="1"/>
  <c r="G114" i="1" s="1"/>
  <c r="G116" i="1" s="1"/>
  <c r="H114" i="1" s="1"/>
  <c r="H116" i="1" s="1"/>
  <c r="I114" i="1" s="1"/>
  <c r="I116" i="1" s="1"/>
  <c r="J114" i="1" s="1"/>
  <c r="J116" i="1" s="1"/>
  <c r="K114" i="1" s="1"/>
  <c r="K116" i="1" s="1"/>
  <c r="L114" i="1" s="1"/>
  <c r="L116" i="1" s="1"/>
  <c r="M114" i="1" s="1"/>
  <c r="M116" i="1" s="1"/>
  <c r="N114" i="1" s="1"/>
  <c r="N116" i="1" s="1"/>
  <c r="O114" i="1" s="1"/>
  <c r="O116" i="1" s="1"/>
  <c r="P114" i="1" s="1"/>
  <c r="P116" i="1" s="1"/>
  <c r="Q114" i="1" s="1"/>
  <c r="Q116" i="1" s="1"/>
  <c r="R114" i="1" s="1"/>
  <c r="R116" i="1" s="1"/>
  <c r="S114" i="1" s="1"/>
  <c r="S116" i="1" s="1"/>
  <c r="T114" i="1" s="1"/>
  <c r="T116" i="1" s="1"/>
  <c r="U114" i="1" s="1"/>
  <c r="U116" i="1" s="1"/>
  <c r="V114" i="1" s="1"/>
  <c r="V116" i="1" s="1"/>
  <c r="W114" i="1" s="1"/>
  <c r="W116" i="1" s="1"/>
  <c r="X114" i="1" s="1"/>
  <c r="X116" i="1" s="1"/>
  <c r="Y114" i="1" s="1"/>
  <c r="Y116" i="1" s="1"/>
  <c r="Z114" i="1" s="1"/>
  <c r="Z116" i="1" s="1"/>
  <c r="AA114" i="1" s="1"/>
  <c r="AA116" i="1" s="1"/>
  <c r="AB114" i="1" s="1"/>
  <c r="AB116" i="1" s="1"/>
  <c r="AC114" i="1" s="1"/>
  <c r="AC116" i="1" s="1"/>
  <c r="AD114" i="1" s="1"/>
  <c r="AD116" i="1" s="1"/>
  <c r="AE114" i="1" s="1"/>
  <c r="AE116" i="1" s="1"/>
  <c r="AF114" i="1" s="1"/>
  <c r="AF116" i="1" s="1"/>
  <c r="AG114" i="1" s="1"/>
  <c r="AG116" i="1" s="1"/>
  <c r="AH114" i="1" s="1"/>
  <c r="AH116" i="1" s="1"/>
  <c r="AI114" i="1" s="1"/>
  <c r="AI116" i="1" s="1"/>
  <c r="AJ114" i="1" s="1"/>
  <c r="AJ116" i="1" s="1"/>
  <c r="AK114" i="1" s="1"/>
  <c r="AK116" i="1" s="1"/>
  <c r="E120" i="1"/>
  <c r="F118" i="1" s="1"/>
  <c r="F120" i="1" s="1"/>
  <c r="G118" i="1" s="1"/>
  <c r="G120" i="1" s="1"/>
  <c r="H118" i="1" s="1"/>
  <c r="H120" i="1" s="1"/>
  <c r="I118" i="1" s="1"/>
  <c r="I120" i="1" s="1"/>
  <c r="J118" i="1" s="1"/>
  <c r="J120" i="1" s="1"/>
  <c r="K118" i="1" s="1"/>
  <c r="K120" i="1" s="1"/>
  <c r="L118" i="1" s="1"/>
  <c r="L120" i="1" s="1"/>
  <c r="M118" i="1" s="1"/>
  <c r="M120" i="1" s="1"/>
  <c r="N118" i="1" s="1"/>
  <c r="N120" i="1" s="1"/>
  <c r="O118" i="1" s="1"/>
  <c r="O120" i="1" s="1"/>
  <c r="P118" i="1" s="1"/>
  <c r="P120" i="1" s="1"/>
  <c r="Q118" i="1" s="1"/>
  <c r="Q120" i="1" s="1"/>
  <c r="R118" i="1" s="1"/>
  <c r="R120" i="1" s="1"/>
  <c r="S118" i="1" s="1"/>
  <c r="S120" i="1" s="1"/>
  <c r="T118" i="1" s="1"/>
  <c r="T120" i="1" s="1"/>
  <c r="U118" i="1" s="1"/>
  <c r="U120" i="1" s="1"/>
  <c r="V118" i="1" s="1"/>
  <c r="V120" i="1" s="1"/>
  <c r="W118" i="1" s="1"/>
  <c r="W120" i="1" s="1"/>
  <c r="X118" i="1" s="1"/>
  <c r="X120" i="1" s="1"/>
  <c r="Y118" i="1" s="1"/>
  <c r="Y120" i="1" s="1"/>
  <c r="Z118" i="1" s="1"/>
  <c r="Z120" i="1" s="1"/>
  <c r="AA118" i="1" s="1"/>
  <c r="AA120" i="1" s="1"/>
  <c r="AB118" i="1" s="1"/>
  <c r="AB120" i="1" s="1"/>
  <c r="AC118" i="1" s="1"/>
  <c r="AC120" i="1" s="1"/>
  <c r="E124" i="1"/>
  <c r="F122" i="1" s="1"/>
  <c r="F124" i="1" s="1"/>
  <c r="G122" i="1" s="1"/>
  <c r="G124" i="1" s="1"/>
  <c r="H122" i="1" s="1"/>
  <c r="H124" i="1" s="1"/>
  <c r="I122" i="1" s="1"/>
  <c r="I124" i="1" s="1"/>
  <c r="J122" i="1" s="1"/>
  <c r="J124" i="1" s="1"/>
  <c r="K122" i="1" s="1"/>
  <c r="K124" i="1" s="1"/>
  <c r="L122" i="1" s="1"/>
  <c r="L124" i="1" s="1"/>
  <c r="M122" i="1" s="1"/>
  <c r="M124" i="1" s="1"/>
  <c r="N122" i="1" s="1"/>
  <c r="N124" i="1" s="1"/>
  <c r="O122" i="1" s="1"/>
  <c r="O124" i="1" s="1"/>
  <c r="P122" i="1" s="1"/>
  <c r="P124" i="1" s="1"/>
  <c r="Q122" i="1" s="1"/>
  <c r="Q124" i="1" s="1"/>
  <c r="R122" i="1" s="1"/>
  <c r="R124" i="1" s="1"/>
  <c r="S122" i="1" s="1"/>
  <c r="S124" i="1" s="1"/>
  <c r="T122" i="1" s="1"/>
  <c r="T124" i="1" s="1"/>
  <c r="U122" i="1" s="1"/>
  <c r="U124" i="1" s="1"/>
  <c r="V122" i="1" s="1"/>
  <c r="V124" i="1" s="1"/>
  <c r="W122" i="1" s="1"/>
  <c r="W124" i="1" s="1"/>
  <c r="X122" i="1" s="1"/>
  <c r="X124" i="1" s="1"/>
  <c r="Y122" i="1" s="1"/>
  <c r="Y124" i="1" s="1"/>
  <c r="Z122" i="1" s="1"/>
  <c r="Z124" i="1" s="1"/>
  <c r="AA122" i="1" s="1"/>
  <c r="AA124" i="1" s="1"/>
  <c r="AB122" i="1" s="1"/>
  <c r="AB124" i="1" s="1"/>
  <c r="E128" i="1"/>
  <c r="F126" i="1" s="1"/>
  <c r="F128" i="1" s="1"/>
  <c r="G126" i="1" s="1"/>
  <c r="G128" i="1" s="1"/>
  <c r="H126" i="1" s="1"/>
  <c r="H128" i="1" s="1"/>
  <c r="I126" i="1" s="1"/>
  <c r="I128" i="1" s="1"/>
  <c r="J126" i="1" s="1"/>
  <c r="J128" i="1" s="1"/>
  <c r="K126" i="1" s="1"/>
  <c r="K128" i="1" s="1"/>
  <c r="L126" i="1" s="1"/>
  <c r="L128" i="1" s="1"/>
  <c r="M126" i="1" s="1"/>
  <c r="M128" i="1" s="1"/>
  <c r="N126" i="1" s="1"/>
  <c r="N128" i="1" s="1"/>
  <c r="O126" i="1" s="1"/>
  <c r="O128" i="1" s="1"/>
  <c r="P126" i="1" s="1"/>
  <c r="P128" i="1" s="1"/>
  <c r="Q126" i="1" s="1"/>
  <c r="Q128" i="1" s="1"/>
  <c r="R126" i="1" s="1"/>
  <c r="R128" i="1" s="1"/>
  <c r="S126" i="1" s="1"/>
  <c r="S128" i="1" s="1"/>
  <c r="T126" i="1" s="1"/>
  <c r="T128" i="1" s="1"/>
  <c r="E132" i="1"/>
  <c r="F130" i="1" s="1"/>
  <c r="F132" i="1" s="1"/>
  <c r="G130" i="1" s="1"/>
  <c r="G132" i="1" s="1"/>
  <c r="H130" i="1" s="1"/>
  <c r="H132" i="1" s="1"/>
  <c r="I130" i="1" s="1"/>
  <c r="I132" i="1" s="1"/>
  <c r="J130" i="1" s="1"/>
  <c r="J132" i="1" s="1"/>
  <c r="K130" i="1" s="1"/>
  <c r="K132" i="1" s="1"/>
  <c r="L130" i="1" s="1"/>
  <c r="L132" i="1" s="1"/>
  <c r="M130" i="1" s="1"/>
  <c r="M132" i="1" s="1"/>
  <c r="N130" i="1" s="1"/>
  <c r="N132" i="1" s="1"/>
  <c r="O130" i="1" s="1"/>
  <c r="O132" i="1" s="1"/>
  <c r="P130" i="1" s="1"/>
  <c r="P132" i="1" s="1"/>
  <c r="Q130" i="1" s="1"/>
  <c r="Q132" i="1" s="1"/>
  <c r="R130" i="1" s="1"/>
  <c r="R132" i="1" s="1"/>
  <c r="S130" i="1" s="1"/>
  <c r="S132" i="1" s="1"/>
  <c r="T130" i="1" s="1"/>
  <c r="T132" i="1" s="1"/>
  <c r="E136" i="1"/>
  <c r="F134" i="1" s="1"/>
  <c r="F136" i="1" s="1"/>
  <c r="G134" i="1" s="1"/>
  <c r="G136" i="1" s="1"/>
  <c r="H134" i="1" s="1"/>
  <c r="H136" i="1" s="1"/>
  <c r="I134" i="1" s="1"/>
  <c r="I136" i="1" s="1"/>
  <c r="J134" i="1" s="1"/>
  <c r="J136" i="1" s="1"/>
  <c r="K134" i="1" s="1"/>
  <c r="K136" i="1" s="1"/>
  <c r="L134" i="1" s="1"/>
  <c r="L136" i="1" s="1"/>
  <c r="M134" i="1" s="1"/>
  <c r="M136" i="1" s="1"/>
  <c r="N134" i="1" s="1"/>
  <c r="N136" i="1" s="1"/>
  <c r="O134" i="1" s="1"/>
  <c r="O136" i="1" s="1"/>
  <c r="P134" i="1" s="1"/>
  <c r="P136" i="1" s="1"/>
  <c r="Q134" i="1" s="1"/>
  <c r="Q136" i="1" s="1"/>
  <c r="R134" i="1" s="1"/>
  <c r="R136" i="1" s="1"/>
  <c r="S134" i="1" s="1"/>
  <c r="S136" i="1" s="1"/>
  <c r="T134" i="1" s="1"/>
  <c r="T136" i="1" s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AK153" i="1"/>
  <c r="AK144" i="1" s="1"/>
  <c r="AJ153" i="1"/>
  <c r="AJ144" i="1" s="1"/>
  <c r="AI153" i="1"/>
  <c r="AI144" i="1" s="1"/>
  <c r="AH153" i="1"/>
  <c r="AH144" i="1" s="1"/>
  <c r="AG153" i="1"/>
  <c r="AG144" i="1" s="1"/>
  <c r="AF153" i="1"/>
  <c r="AF144" i="1" s="1"/>
  <c r="AE153" i="1"/>
  <c r="AE144" i="1" s="1"/>
  <c r="AD153" i="1"/>
  <c r="AD144" i="1" s="1"/>
  <c r="AC153" i="1"/>
  <c r="AB153" i="1"/>
  <c r="AA153" i="1"/>
  <c r="Z153" i="1"/>
  <c r="Z144" i="1" s="1"/>
  <c r="Y153" i="1"/>
  <c r="X153" i="1"/>
  <c r="X144" i="1" s="1"/>
  <c r="W153" i="1"/>
  <c r="W144" i="1" s="1"/>
  <c r="V153" i="1"/>
  <c r="V144" i="1" s="1"/>
  <c r="U153" i="1"/>
  <c r="T153" i="1"/>
  <c r="S153" i="1"/>
  <c r="R153" i="1"/>
  <c r="Q153" i="1"/>
  <c r="P153" i="1"/>
  <c r="P144" i="1" s="1"/>
  <c r="O153" i="1"/>
  <c r="N153" i="1"/>
  <c r="M153" i="1"/>
  <c r="L153" i="1"/>
  <c r="K153" i="1"/>
  <c r="J153" i="1"/>
  <c r="I153" i="1"/>
  <c r="H153" i="1"/>
  <c r="H144" i="1" s="1"/>
  <c r="G153" i="1"/>
  <c r="F153" i="1"/>
  <c r="E153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E62" i="1"/>
  <c r="E60" i="1"/>
  <c r="E59" i="1"/>
  <c r="E58" i="1"/>
  <c r="E57" i="1"/>
  <c r="E55" i="1"/>
  <c r="E54" i="1"/>
  <c r="E53" i="1"/>
  <c r="E52" i="1"/>
  <c r="E50" i="1"/>
  <c r="E49" i="1"/>
  <c r="E48" i="1"/>
  <c r="E47" i="1"/>
  <c r="E46" i="1"/>
  <c r="E45" i="1"/>
  <c r="E43" i="1"/>
  <c r="E42" i="1"/>
  <c r="E41" i="1"/>
  <c r="E40" i="1"/>
  <c r="E39" i="1"/>
  <c r="E38" i="1"/>
  <c r="E37" i="1"/>
  <c r="E36" i="1"/>
  <c r="E35" i="1"/>
  <c r="E31" i="1"/>
  <c r="E30" i="1"/>
  <c r="E29" i="1"/>
  <c r="E28" i="1"/>
  <c r="E18" i="1"/>
  <c r="E17" i="1"/>
  <c r="E16" i="1"/>
  <c r="E15" i="1"/>
  <c r="E5" i="1"/>
  <c r="E272" i="1" s="1"/>
  <c r="I144" i="1" l="1"/>
  <c r="Q144" i="1"/>
  <c r="Y144" i="1"/>
  <c r="H102" i="1"/>
  <c r="AA144" i="1"/>
  <c r="I102" i="1"/>
  <c r="E144" i="1"/>
  <c r="M144" i="1"/>
  <c r="M102" i="1" s="1"/>
  <c r="J144" i="1"/>
  <c r="J102" i="1" s="1"/>
  <c r="R144" i="1"/>
  <c r="F144" i="1"/>
  <c r="F102" i="1" s="1"/>
  <c r="N144" i="1"/>
  <c r="N102" i="1" s="1"/>
  <c r="O144" i="1"/>
  <c r="K144" i="1"/>
  <c r="K102" i="1" s="1"/>
  <c r="S144" i="1"/>
  <c r="G144" i="1"/>
  <c r="G102" i="1" s="1"/>
  <c r="T144" i="1"/>
  <c r="AB144" i="1"/>
  <c r="L144" i="1"/>
  <c r="L102" i="1" s="1"/>
  <c r="U144" i="1"/>
  <c r="AC144" i="1"/>
  <c r="E246" i="1"/>
  <c r="G105" i="1"/>
  <c r="H107" i="1"/>
  <c r="G107" i="1"/>
  <c r="I107" i="1"/>
  <c r="H105" i="1"/>
  <c r="J107" i="1"/>
  <c r="E107" i="1"/>
  <c r="I105" i="1"/>
  <c r="K107" i="1"/>
  <c r="F105" i="1"/>
  <c r="J105" i="1"/>
  <c r="L107" i="1"/>
  <c r="M105" i="1"/>
  <c r="N105" i="1"/>
  <c r="K105" i="1"/>
  <c r="M107" i="1"/>
  <c r="F107" i="1"/>
  <c r="L105" i="1"/>
  <c r="N107" i="1"/>
  <c r="E265" i="1"/>
  <c r="G71" i="1"/>
  <c r="I71" i="1"/>
  <c r="H71" i="1"/>
  <c r="E273" i="1"/>
  <c r="J71" i="1"/>
  <c r="E71" i="1"/>
  <c r="M71" i="1"/>
  <c r="K71" i="1"/>
  <c r="E241" i="1"/>
  <c r="E298" i="1" s="1"/>
  <c r="L71" i="1"/>
  <c r="F71" i="1"/>
  <c r="N71" i="1"/>
  <c r="E20" i="1"/>
  <c r="E21" i="1" s="1"/>
  <c r="E242" i="1" l="1"/>
  <c r="D94" i="1" l="1"/>
  <c r="D95" i="1"/>
  <c r="D93" i="1"/>
  <c r="D92" i="1"/>
  <c r="D91" i="1"/>
  <c r="D90" i="1"/>
  <c r="D8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E79" i="1"/>
  <c r="E4" i="1"/>
  <c r="E11" i="1"/>
  <c r="E10" i="1" s="1"/>
  <c r="M94" i="1" l="1"/>
  <c r="K94" i="1"/>
  <c r="J94" i="1"/>
  <c r="I94" i="1"/>
  <c r="D170" i="1"/>
  <c r="N94" i="1"/>
  <c r="E94" i="1"/>
  <c r="L94" i="1"/>
  <c r="H94" i="1"/>
  <c r="G94" i="1"/>
  <c r="F94" i="1"/>
  <c r="N93" i="1"/>
  <c r="F93" i="1"/>
  <c r="E93" i="1"/>
  <c r="L93" i="1"/>
  <c r="K93" i="1"/>
  <c r="I93" i="1"/>
  <c r="H93" i="1"/>
  <c r="G93" i="1"/>
  <c r="M93" i="1"/>
  <c r="J93" i="1"/>
  <c r="D166" i="1"/>
  <c r="E7" i="1"/>
  <c r="E259" i="1"/>
  <c r="E260" i="1" s="1"/>
  <c r="E278" i="1"/>
  <c r="E253" i="1"/>
  <c r="J89" i="1"/>
  <c r="H89" i="1"/>
  <c r="G89" i="1"/>
  <c r="F89" i="1"/>
  <c r="L89" i="1"/>
  <c r="K89" i="1"/>
  <c r="I89" i="1"/>
  <c r="D150" i="1"/>
  <c r="N89" i="1"/>
  <c r="E89" i="1"/>
  <c r="M89" i="1"/>
  <c r="I90" i="1"/>
  <c r="D154" i="1"/>
  <c r="G90" i="1"/>
  <c r="N90" i="1"/>
  <c r="F90" i="1"/>
  <c r="E90" i="1"/>
  <c r="M90" i="1"/>
  <c r="L90" i="1"/>
  <c r="J90" i="1"/>
  <c r="H90" i="1"/>
  <c r="K90" i="1"/>
  <c r="L95" i="1"/>
  <c r="J95" i="1"/>
  <c r="I95" i="1"/>
  <c r="D174" i="1"/>
  <c r="G95" i="1"/>
  <c r="M95" i="1"/>
  <c r="K95" i="1"/>
  <c r="H95" i="1"/>
  <c r="N95" i="1"/>
  <c r="F95" i="1"/>
  <c r="E95" i="1"/>
  <c r="H91" i="1"/>
  <c r="N91" i="1"/>
  <c r="F91" i="1"/>
  <c r="E91" i="1"/>
  <c r="M91" i="1"/>
  <c r="K91" i="1"/>
  <c r="J91" i="1"/>
  <c r="I91" i="1"/>
  <c r="G91" i="1"/>
  <c r="L91" i="1"/>
  <c r="D158" i="1"/>
  <c r="G92" i="1"/>
  <c r="M92" i="1"/>
  <c r="L92" i="1"/>
  <c r="K92" i="1"/>
  <c r="H92" i="1"/>
  <c r="N92" i="1"/>
  <c r="F92" i="1"/>
  <c r="E92" i="1"/>
  <c r="J92" i="1"/>
  <c r="I92" i="1"/>
  <c r="D162" i="1"/>
  <c r="E51" i="1"/>
  <c r="E56" i="1"/>
  <c r="E27" i="1"/>
  <c r="E26" i="1" s="1"/>
  <c r="E44" i="1"/>
  <c r="E34" i="1"/>
  <c r="J88" i="1" l="1"/>
  <c r="E88" i="1"/>
  <c r="E67" i="1" s="1"/>
  <c r="E152" i="1"/>
  <c r="E154" i="1" s="1"/>
  <c r="F152" i="1" s="1"/>
  <c r="F154" i="1" s="1"/>
  <c r="G152" i="1" s="1"/>
  <c r="G154" i="1" s="1"/>
  <c r="H152" i="1" s="1"/>
  <c r="H154" i="1" s="1"/>
  <c r="I152" i="1" s="1"/>
  <c r="I154" i="1" s="1"/>
  <c r="J152" i="1" s="1"/>
  <c r="J154" i="1" s="1"/>
  <c r="K152" i="1" s="1"/>
  <c r="K154" i="1" s="1"/>
  <c r="L152" i="1" s="1"/>
  <c r="L154" i="1" s="1"/>
  <c r="M152" i="1" s="1"/>
  <c r="M154" i="1" s="1"/>
  <c r="N152" i="1" s="1"/>
  <c r="N154" i="1" s="1"/>
  <c r="O152" i="1" s="1"/>
  <c r="O154" i="1" s="1"/>
  <c r="P152" i="1" s="1"/>
  <c r="P154" i="1" s="1"/>
  <c r="Q152" i="1" s="1"/>
  <c r="Q154" i="1" s="1"/>
  <c r="R152" i="1" s="1"/>
  <c r="R154" i="1" s="1"/>
  <c r="S152" i="1" s="1"/>
  <c r="S154" i="1" s="1"/>
  <c r="T152" i="1" s="1"/>
  <c r="T154" i="1" s="1"/>
  <c r="D199" i="1"/>
  <c r="E168" i="1"/>
  <c r="E170" i="1" s="1"/>
  <c r="F168" i="1" s="1"/>
  <c r="F170" i="1" s="1"/>
  <c r="G168" i="1" s="1"/>
  <c r="G170" i="1" s="1"/>
  <c r="H168" i="1" s="1"/>
  <c r="H170" i="1" s="1"/>
  <c r="I168" i="1" s="1"/>
  <c r="I170" i="1" s="1"/>
  <c r="J168" i="1" s="1"/>
  <c r="J170" i="1" s="1"/>
  <c r="K168" i="1" s="1"/>
  <c r="K170" i="1" s="1"/>
  <c r="L168" i="1" s="1"/>
  <c r="L170" i="1" s="1"/>
  <c r="M168" i="1" s="1"/>
  <c r="M170" i="1" s="1"/>
  <c r="N168" i="1" s="1"/>
  <c r="N170" i="1" s="1"/>
  <c r="O168" i="1" s="1"/>
  <c r="O170" i="1" s="1"/>
  <c r="P168" i="1" s="1"/>
  <c r="P170" i="1" s="1"/>
  <c r="Q168" i="1" s="1"/>
  <c r="Q170" i="1" s="1"/>
  <c r="R168" i="1" s="1"/>
  <c r="R170" i="1" s="1"/>
  <c r="S168" i="1" s="1"/>
  <c r="S170" i="1" s="1"/>
  <c r="T168" i="1" s="1"/>
  <c r="T170" i="1" s="1"/>
  <c r="D223" i="1"/>
  <c r="E172" i="1"/>
  <c r="E174" i="1" s="1"/>
  <c r="F172" i="1" s="1"/>
  <c r="F174" i="1" s="1"/>
  <c r="G172" i="1" s="1"/>
  <c r="G174" i="1" s="1"/>
  <c r="H172" i="1" s="1"/>
  <c r="H174" i="1" s="1"/>
  <c r="I172" i="1" s="1"/>
  <c r="I174" i="1" s="1"/>
  <c r="J172" i="1" s="1"/>
  <c r="J174" i="1" s="1"/>
  <c r="K172" i="1" s="1"/>
  <c r="K174" i="1" s="1"/>
  <c r="L172" i="1" s="1"/>
  <c r="L174" i="1" s="1"/>
  <c r="M172" i="1" s="1"/>
  <c r="M174" i="1" s="1"/>
  <c r="N172" i="1" s="1"/>
  <c r="N174" i="1" s="1"/>
  <c r="O172" i="1" s="1"/>
  <c r="O174" i="1" s="1"/>
  <c r="P172" i="1" s="1"/>
  <c r="P174" i="1" s="1"/>
  <c r="Q172" i="1" s="1"/>
  <c r="Q174" i="1" s="1"/>
  <c r="R172" i="1" s="1"/>
  <c r="R174" i="1" s="1"/>
  <c r="S172" i="1" s="1"/>
  <c r="S174" i="1" s="1"/>
  <c r="T172" i="1" s="1"/>
  <c r="T174" i="1" s="1"/>
  <c r="D229" i="1"/>
  <c r="E164" i="1"/>
  <c r="E166" i="1" s="1"/>
  <c r="F164" i="1" s="1"/>
  <c r="F166" i="1" s="1"/>
  <c r="G164" i="1" s="1"/>
  <c r="G166" i="1" s="1"/>
  <c r="H164" i="1" s="1"/>
  <c r="H166" i="1" s="1"/>
  <c r="I164" i="1" s="1"/>
  <c r="I166" i="1" s="1"/>
  <c r="J164" i="1" s="1"/>
  <c r="J166" i="1" s="1"/>
  <c r="K164" i="1" s="1"/>
  <c r="K166" i="1" s="1"/>
  <c r="L164" i="1" s="1"/>
  <c r="L166" i="1" s="1"/>
  <c r="M164" i="1" s="1"/>
  <c r="M166" i="1" s="1"/>
  <c r="N164" i="1" s="1"/>
  <c r="N166" i="1" s="1"/>
  <c r="O164" i="1" s="1"/>
  <c r="O166" i="1" s="1"/>
  <c r="P164" i="1" s="1"/>
  <c r="P166" i="1" s="1"/>
  <c r="Q164" i="1" s="1"/>
  <c r="Q166" i="1" s="1"/>
  <c r="R164" i="1" s="1"/>
  <c r="R166" i="1" s="1"/>
  <c r="S164" i="1" s="1"/>
  <c r="S166" i="1" s="1"/>
  <c r="T164" i="1" s="1"/>
  <c r="T166" i="1" s="1"/>
  <c r="D217" i="1"/>
  <c r="E148" i="1"/>
  <c r="E150" i="1" s="1"/>
  <c r="D193" i="1"/>
  <c r="E156" i="1"/>
  <c r="E158" i="1" s="1"/>
  <c r="F156" i="1" s="1"/>
  <c r="F158" i="1" s="1"/>
  <c r="G156" i="1" s="1"/>
  <c r="G158" i="1" s="1"/>
  <c r="H156" i="1" s="1"/>
  <c r="H158" i="1" s="1"/>
  <c r="I156" i="1" s="1"/>
  <c r="I158" i="1" s="1"/>
  <c r="J156" i="1" s="1"/>
  <c r="J158" i="1" s="1"/>
  <c r="K156" i="1" s="1"/>
  <c r="K158" i="1" s="1"/>
  <c r="L156" i="1" s="1"/>
  <c r="L158" i="1" s="1"/>
  <c r="M156" i="1" s="1"/>
  <c r="M158" i="1" s="1"/>
  <c r="N156" i="1" s="1"/>
  <c r="N158" i="1" s="1"/>
  <c r="O156" i="1" s="1"/>
  <c r="O158" i="1" s="1"/>
  <c r="P156" i="1" s="1"/>
  <c r="P158" i="1" s="1"/>
  <c r="Q156" i="1" s="1"/>
  <c r="Q158" i="1" s="1"/>
  <c r="R156" i="1" s="1"/>
  <c r="R158" i="1" s="1"/>
  <c r="S156" i="1" s="1"/>
  <c r="S158" i="1" s="1"/>
  <c r="T156" i="1" s="1"/>
  <c r="T158" i="1" s="1"/>
  <c r="U156" i="1" s="1"/>
  <c r="U158" i="1" s="1"/>
  <c r="V156" i="1" s="1"/>
  <c r="V158" i="1" s="1"/>
  <c r="W156" i="1" s="1"/>
  <c r="W158" i="1" s="1"/>
  <c r="X156" i="1" s="1"/>
  <c r="X158" i="1" s="1"/>
  <c r="Y156" i="1" s="1"/>
  <c r="Y158" i="1" s="1"/>
  <c r="Z156" i="1" s="1"/>
  <c r="Z158" i="1" s="1"/>
  <c r="AA156" i="1" s="1"/>
  <c r="AA158" i="1" s="1"/>
  <c r="AB156" i="1" s="1"/>
  <c r="AB158" i="1" s="1"/>
  <c r="AC156" i="1" s="1"/>
  <c r="AC158" i="1" s="1"/>
  <c r="D205" i="1"/>
  <c r="E160" i="1"/>
  <c r="E162" i="1" s="1"/>
  <c r="F160" i="1" s="1"/>
  <c r="F162" i="1" s="1"/>
  <c r="G160" i="1" s="1"/>
  <c r="G162" i="1" s="1"/>
  <c r="H160" i="1" s="1"/>
  <c r="H162" i="1" s="1"/>
  <c r="I160" i="1" s="1"/>
  <c r="I162" i="1" s="1"/>
  <c r="J160" i="1" s="1"/>
  <c r="J162" i="1" s="1"/>
  <c r="K160" i="1" s="1"/>
  <c r="K162" i="1" s="1"/>
  <c r="L160" i="1" s="1"/>
  <c r="L162" i="1" s="1"/>
  <c r="M160" i="1" s="1"/>
  <c r="M162" i="1" s="1"/>
  <c r="N160" i="1" s="1"/>
  <c r="N162" i="1" s="1"/>
  <c r="O160" i="1" s="1"/>
  <c r="O162" i="1" s="1"/>
  <c r="P160" i="1" s="1"/>
  <c r="P162" i="1" s="1"/>
  <c r="Q160" i="1" s="1"/>
  <c r="Q162" i="1" s="1"/>
  <c r="R160" i="1" s="1"/>
  <c r="R162" i="1" s="1"/>
  <c r="S160" i="1" s="1"/>
  <c r="S162" i="1" s="1"/>
  <c r="T160" i="1" s="1"/>
  <c r="T162" i="1" s="1"/>
  <c r="U160" i="1" s="1"/>
  <c r="U162" i="1" s="1"/>
  <c r="V160" i="1" s="1"/>
  <c r="V162" i="1" s="1"/>
  <c r="W160" i="1" s="1"/>
  <c r="W162" i="1" s="1"/>
  <c r="X160" i="1" s="1"/>
  <c r="X162" i="1" s="1"/>
  <c r="Y160" i="1" s="1"/>
  <c r="Y162" i="1" s="1"/>
  <c r="Z160" i="1" s="1"/>
  <c r="Z162" i="1" s="1"/>
  <c r="AA160" i="1" s="1"/>
  <c r="AA162" i="1" s="1"/>
  <c r="AB160" i="1" s="1"/>
  <c r="AB162" i="1" s="1"/>
  <c r="D211" i="1"/>
  <c r="E266" i="1"/>
  <c r="E305" i="1" s="1"/>
  <c r="E279" i="1"/>
  <c r="E267" i="1" s="1"/>
  <c r="E254" i="1"/>
  <c r="E248" i="1" s="1"/>
  <c r="E247" i="1"/>
  <c r="F88" i="1"/>
  <c r="G88" i="1"/>
  <c r="L88" i="1"/>
  <c r="M88" i="1"/>
  <c r="N88" i="1"/>
  <c r="K88" i="1"/>
  <c r="I88" i="1"/>
  <c r="H88" i="1"/>
  <c r="E61" i="1"/>
  <c r="E33" i="1" s="1"/>
  <c r="T143" i="1" l="1"/>
  <c r="E143" i="1"/>
  <c r="D232" i="1"/>
  <c r="E231" i="1" s="1"/>
  <c r="D230" i="1"/>
  <c r="D206" i="1"/>
  <c r="D208" i="1"/>
  <c r="E207" i="1" s="1"/>
  <c r="D224" i="1"/>
  <c r="D226" i="1"/>
  <c r="E225" i="1" s="1"/>
  <c r="D220" i="1"/>
  <c r="E219" i="1" s="1"/>
  <c r="D218" i="1"/>
  <c r="D196" i="1"/>
  <c r="D194" i="1"/>
  <c r="D202" i="1"/>
  <c r="E201" i="1" s="1"/>
  <c r="D200" i="1"/>
  <c r="D212" i="1"/>
  <c r="D214" i="1"/>
  <c r="E213" i="1" s="1"/>
  <c r="F148" i="1"/>
  <c r="E145" i="1"/>
  <c r="E304" i="1" s="1"/>
  <c r="E303" i="1" s="1"/>
  <c r="U152" i="1"/>
  <c r="T145" i="1"/>
  <c r="E236" i="1"/>
  <c r="E299" i="1"/>
  <c r="E237" i="1"/>
  <c r="E24" i="1"/>
  <c r="E64" i="1" s="1"/>
  <c r="E285" i="1" s="1"/>
  <c r="D188" i="1" l="1"/>
  <c r="Q218" i="1"/>
  <c r="L218" i="1"/>
  <c r="W218" i="1"/>
  <c r="X218" i="1"/>
  <c r="S218" i="1"/>
  <c r="T218" i="1"/>
  <c r="F218" i="1"/>
  <c r="I218" i="1"/>
  <c r="M218" i="1"/>
  <c r="O218" i="1"/>
  <c r="H218" i="1"/>
  <c r="K218" i="1"/>
  <c r="P218" i="1"/>
  <c r="J218" i="1"/>
  <c r="G218" i="1"/>
  <c r="V218" i="1"/>
  <c r="R218" i="1"/>
  <c r="E218" i="1"/>
  <c r="E220" i="1" s="1"/>
  <c r="F219" i="1" s="1"/>
  <c r="N218" i="1"/>
  <c r="Y218" i="1"/>
  <c r="Z218" i="1"/>
  <c r="U218" i="1"/>
  <c r="E208" i="1"/>
  <c r="F207" i="1" s="1"/>
  <c r="F208" i="1" s="1"/>
  <c r="G207" i="1" s="1"/>
  <c r="N212" i="1"/>
  <c r="O212" i="1"/>
  <c r="S212" i="1"/>
  <c r="T212" i="1"/>
  <c r="G212" i="1"/>
  <c r="Z212" i="1"/>
  <c r="K212" i="1"/>
  <c r="V212" i="1"/>
  <c r="J212" i="1"/>
  <c r="Y212" i="1"/>
  <c r="P212" i="1"/>
  <c r="M212" i="1"/>
  <c r="Q212" i="1"/>
  <c r="H212" i="1"/>
  <c r="E212" i="1"/>
  <c r="E214" i="1" s="1"/>
  <c r="F213" i="1" s="1"/>
  <c r="I212" i="1"/>
  <c r="R212" i="1"/>
  <c r="F212" i="1"/>
  <c r="X212" i="1"/>
  <c r="U212" i="1"/>
  <c r="W212" i="1"/>
  <c r="L212" i="1"/>
  <c r="N224" i="1"/>
  <c r="H224" i="1"/>
  <c r="Y224" i="1"/>
  <c r="V224" i="1"/>
  <c r="P224" i="1"/>
  <c r="J224" i="1"/>
  <c r="G224" i="1"/>
  <c r="X224" i="1"/>
  <c r="L224" i="1"/>
  <c r="T224" i="1"/>
  <c r="M224" i="1"/>
  <c r="E224" i="1"/>
  <c r="E226" i="1" s="1"/>
  <c r="F225" i="1" s="1"/>
  <c r="F226" i="1" s="1"/>
  <c r="G225" i="1" s="1"/>
  <c r="F224" i="1"/>
  <c r="R224" i="1"/>
  <c r="K224" i="1"/>
  <c r="O224" i="1"/>
  <c r="I224" i="1"/>
  <c r="Z224" i="1"/>
  <c r="S224" i="1"/>
  <c r="W224" i="1"/>
  <c r="Q224" i="1"/>
  <c r="U224" i="1"/>
  <c r="R200" i="1"/>
  <c r="S194" i="1"/>
  <c r="E194" i="1"/>
  <c r="E188" i="1" s="1"/>
  <c r="N194" i="1"/>
  <c r="F200" i="1"/>
  <c r="W200" i="1"/>
  <c r="K194" i="1"/>
  <c r="J200" i="1"/>
  <c r="U194" i="1"/>
  <c r="V194" i="1"/>
  <c r="N200" i="1"/>
  <c r="I194" i="1"/>
  <c r="M194" i="1"/>
  <c r="T194" i="1"/>
  <c r="J194" i="1"/>
  <c r="M200" i="1"/>
  <c r="H194" i="1"/>
  <c r="Y194" i="1"/>
  <c r="H200" i="1"/>
  <c r="S200" i="1"/>
  <c r="Z194" i="1"/>
  <c r="U200" i="1"/>
  <c r="P194" i="1"/>
  <c r="R194" i="1"/>
  <c r="X200" i="1"/>
  <c r="G194" i="1"/>
  <c r="I200" i="1"/>
  <c r="T200" i="1"/>
  <c r="O194" i="1"/>
  <c r="G200" i="1"/>
  <c r="Q200" i="1"/>
  <c r="Y200" i="1"/>
  <c r="K200" i="1"/>
  <c r="F194" i="1"/>
  <c r="W194" i="1"/>
  <c r="O200" i="1"/>
  <c r="L194" i="1"/>
  <c r="Z200" i="1"/>
  <c r="P200" i="1"/>
  <c r="E200" i="1"/>
  <c r="E202" i="1" s="1"/>
  <c r="F201" i="1" s="1"/>
  <c r="V200" i="1"/>
  <c r="Q194" i="1"/>
  <c r="L200" i="1"/>
  <c r="X194" i="1"/>
  <c r="S206" i="1"/>
  <c r="M206" i="1"/>
  <c r="L206" i="1"/>
  <c r="T206" i="1"/>
  <c r="E206" i="1"/>
  <c r="U206" i="1"/>
  <c r="O206" i="1"/>
  <c r="W206" i="1"/>
  <c r="J206" i="1"/>
  <c r="R206" i="1"/>
  <c r="F206" i="1"/>
  <c r="I206" i="1"/>
  <c r="H206" i="1"/>
  <c r="V206" i="1"/>
  <c r="Q206" i="1"/>
  <c r="P206" i="1"/>
  <c r="G206" i="1"/>
  <c r="K206" i="1"/>
  <c r="X206" i="1"/>
  <c r="Z206" i="1"/>
  <c r="N206" i="1"/>
  <c r="Y206" i="1"/>
  <c r="I230" i="1"/>
  <c r="T230" i="1"/>
  <c r="Y230" i="1"/>
  <c r="E230" i="1"/>
  <c r="J230" i="1"/>
  <c r="M230" i="1"/>
  <c r="S230" i="1"/>
  <c r="Q230" i="1"/>
  <c r="R230" i="1"/>
  <c r="Z230" i="1"/>
  <c r="L230" i="1"/>
  <c r="P230" i="1"/>
  <c r="W230" i="1"/>
  <c r="H230" i="1"/>
  <c r="N230" i="1"/>
  <c r="F230" i="1"/>
  <c r="X230" i="1"/>
  <c r="U230" i="1"/>
  <c r="V230" i="1"/>
  <c r="K230" i="1"/>
  <c r="O230" i="1"/>
  <c r="G230" i="1"/>
  <c r="E195" i="1"/>
  <c r="D190" i="1"/>
  <c r="E232" i="1"/>
  <c r="F231" i="1" s="1"/>
  <c r="U154" i="1"/>
  <c r="U143" i="1"/>
  <c r="F150" i="1"/>
  <c r="F143" i="1"/>
  <c r="E97" i="1"/>
  <c r="E8" i="1"/>
  <c r="F214" i="1" l="1"/>
  <c r="G213" i="1" s="1"/>
  <c r="G214" i="1" s="1"/>
  <c r="H213" i="1" s="1"/>
  <c r="H214" i="1" s="1"/>
  <c r="I213" i="1" s="1"/>
  <c r="G208" i="1"/>
  <c r="H207" i="1" s="1"/>
  <c r="H208" i="1" s="1"/>
  <c r="I207" i="1" s="1"/>
  <c r="I208" i="1" s="1"/>
  <c r="J207" i="1" s="1"/>
  <c r="J208" i="1" s="1"/>
  <c r="K207" i="1" s="1"/>
  <c r="K208" i="1" s="1"/>
  <c r="L207" i="1" s="1"/>
  <c r="L208" i="1" s="1"/>
  <c r="M207" i="1" s="1"/>
  <c r="M208" i="1" s="1"/>
  <c r="N207" i="1" s="1"/>
  <c r="N208" i="1" s="1"/>
  <c r="O207" i="1" s="1"/>
  <c r="O208" i="1" s="1"/>
  <c r="P207" i="1" s="1"/>
  <c r="P208" i="1" s="1"/>
  <c r="Q207" i="1" s="1"/>
  <c r="Q208" i="1" s="1"/>
  <c r="R207" i="1" s="1"/>
  <c r="R208" i="1" s="1"/>
  <c r="S207" i="1" s="1"/>
  <c r="S208" i="1" s="1"/>
  <c r="T207" i="1" s="1"/>
  <c r="T208" i="1" s="1"/>
  <c r="U207" i="1" s="1"/>
  <c r="U208" i="1" s="1"/>
  <c r="V207" i="1" s="1"/>
  <c r="V208" i="1" s="1"/>
  <c r="W207" i="1" s="1"/>
  <c r="W208" i="1" s="1"/>
  <c r="X207" i="1" s="1"/>
  <c r="X208" i="1" s="1"/>
  <c r="Y207" i="1" s="1"/>
  <c r="Y208" i="1" s="1"/>
  <c r="Z207" i="1" s="1"/>
  <c r="Z208" i="1" s="1"/>
  <c r="J188" i="1"/>
  <c r="F202" i="1"/>
  <c r="G201" i="1" s="1"/>
  <c r="I214" i="1"/>
  <c r="J213" i="1" s="1"/>
  <c r="J214" i="1" s="1"/>
  <c r="K213" i="1" s="1"/>
  <c r="K214" i="1" s="1"/>
  <c r="L213" i="1" s="1"/>
  <c r="L214" i="1" s="1"/>
  <c r="M213" i="1" s="1"/>
  <c r="M214" i="1" s="1"/>
  <c r="N213" i="1" s="1"/>
  <c r="N214" i="1" s="1"/>
  <c r="O213" i="1" s="1"/>
  <c r="O214" i="1" s="1"/>
  <c r="P213" i="1" s="1"/>
  <c r="P214" i="1" s="1"/>
  <c r="Q213" i="1" s="1"/>
  <c r="Q214" i="1" s="1"/>
  <c r="R213" i="1" s="1"/>
  <c r="R214" i="1" s="1"/>
  <c r="S213" i="1" s="1"/>
  <c r="S214" i="1" s="1"/>
  <c r="T213" i="1" s="1"/>
  <c r="T214" i="1" s="1"/>
  <c r="U213" i="1" s="1"/>
  <c r="U214" i="1" s="1"/>
  <c r="V213" i="1" s="1"/>
  <c r="V214" i="1" s="1"/>
  <c r="W213" i="1" s="1"/>
  <c r="W214" i="1" s="1"/>
  <c r="X213" i="1" s="1"/>
  <c r="X214" i="1" s="1"/>
  <c r="Y213" i="1" s="1"/>
  <c r="Y214" i="1" s="1"/>
  <c r="Z213" i="1" s="1"/>
  <c r="Z214" i="1" s="1"/>
  <c r="S188" i="1"/>
  <c r="I188" i="1"/>
  <c r="U188" i="1"/>
  <c r="Z188" i="1"/>
  <c r="P188" i="1"/>
  <c r="W188" i="1"/>
  <c r="K188" i="1"/>
  <c r="Y188" i="1"/>
  <c r="Q188" i="1"/>
  <c r="F188" i="1"/>
  <c r="E189" i="1"/>
  <c r="E196" i="1"/>
  <c r="T188" i="1"/>
  <c r="F232" i="1"/>
  <c r="G231" i="1" s="1"/>
  <c r="G232" i="1" s="1"/>
  <c r="H231" i="1" s="1"/>
  <c r="H232" i="1" s="1"/>
  <c r="I231" i="1" s="1"/>
  <c r="I232" i="1" s="1"/>
  <c r="J231" i="1" s="1"/>
  <c r="J232" i="1" s="1"/>
  <c r="K231" i="1" s="1"/>
  <c r="K232" i="1" s="1"/>
  <c r="L231" i="1" s="1"/>
  <c r="L232" i="1" s="1"/>
  <c r="M231" i="1" s="1"/>
  <c r="M232" i="1" s="1"/>
  <c r="N231" i="1" s="1"/>
  <c r="N232" i="1" s="1"/>
  <c r="O231" i="1" s="1"/>
  <c r="O232" i="1" s="1"/>
  <c r="P231" i="1" s="1"/>
  <c r="P232" i="1" s="1"/>
  <c r="Q231" i="1" s="1"/>
  <c r="Q232" i="1" s="1"/>
  <c r="R231" i="1" s="1"/>
  <c r="R232" i="1" s="1"/>
  <c r="S231" i="1" s="1"/>
  <c r="S232" i="1" s="1"/>
  <c r="T231" i="1" s="1"/>
  <c r="T232" i="1" s="1"/>
  <c r="U231" i="1" s="1"/>
  <c r="U232" i="1" s="1"/>
  <c r="V231" i="1" s="1"/>
  <c r="V232" i="1" s="1"/>
  <c r="W231" i="1" s="1"/>
  <c r="W232" i="1" s="1"/>
  <c r="X231" i="1" s="1"/>
  <c r="X232" i="1" s="1"/>
  <c r="Y231" i="1" s="1"/>
  <c r="Y232" i="1" s="1"/>
  <c r="Z231" i="1" s="1"/>
  <c r="Z232" i="1" s="1"/>
  <c r="R188" i="1"/>
  <c r="L188" i="1"/>
  <c r="O188" i="1"/>
  <c r="F220" i="1"/>
  <c r="G219" i="1" s="1"/>
  <c r="G220" i="1" s="1"/>
  <c r="H219" i="1" s="1"/>
  <c r="H220" i="1" s="1"/>
  <c r="I219" i="1" s="1"/>
  <c r="I220" i="1" s="1"/>
  <c r="J219" i="1" s="1"/>
  <c r="J220" i="1" s="1"/>
  <c r="K219" i="1" s="1"/>
  <c r="K220" i="1" s="1"/>
  <c r="L219" i="1" s="1"/>
  <c r="L220" i="1" s="1"/>
  <c r="M219" i="1" s="1"/>
  <c r="M220" i="1" s="1"/>
  <c r="N219" i="1" s="1"/>
  <c r="N220" i="1" s="1"/>
  <c r="O219" i="1" s="1"/>
  <c r="O220" i="1" s="1"/>
  <c r="P219" i="1" s="1"/>
  <c r="P220" i="1" s="1"/>
  <c r="Q219" i="1" s="1"/>
  <c r="Q220" i="1" s="1"/>
  <c r="R219" i="1" s="1"/>
  <c r="R220" i="1" s="1"/>
  <c r="S219" i="1" s="1"/>
  <c r="S220" i="1" s="1"/>
  <c r="T219" i="1" s="1"/>
  <c r="T220" i="1" s="1"/>
  <c r="U219" i="1" s="1"/>
  <c r="U220" i="1" s="1"/>
  <c r="V219" i="1" s="1"/>
  <c r="V220" i="1" s="1"/>
  <c r="W219" i="1" s="1"/>
  <c r="W220" i="1" s="1"/>
  <c r="X219" i="1" s="1"/>
  <c r="X220" i="1" s="1"/>
  <c r="Y219" i="1" s="1"/>
  <c r="Y220" i="1" s="1"/>
  <c r="Z219" i="1" s="1"/>
  <c r="Z220" i="1" s="1"/>
  <c r="V188" i="1"/>
  <c r="H188" i="1"/>
  <c r="G188" i="1"/>
  <c r="X188" i="1"/>
  <c r="N188" i="1"/>
  <c r="G226" i="1"/>
  <c r="H225" i="1" s="1"/>
  <c r="H226" i="1" s="1"/>
  <c r="I225" i="1" s="1"/>
  <c r="I226" i="1" s="1"/>
  <c r="J225" i="1" s="1"/>
  <c r="J226" i="1" s="1"/>
  <c r="K225" i="1" s="1"/>
  <c r="K226" i="1" s="1"/>
  <c r="L225" i="1" s="1"/>
  <c r="L226" i="1" s="1"/>
  <c r="M225" i="1" s="1"/>
  <c r="M226" i="1" s="1"/>
  <c r="N225" i="1" s="1"/>
  <c r="N226" i="1" s="1"/>
  <c r="O225" i="1" s="1"/>
  <c r="O226" i="1" s="1"/>
  <c r="P225" i="1" s="1"/>
  <c r="P226" i="1" s="1"/>
  <c r="Q225" i="1" s="1"/>
  <c r="Q226" i="1" s="1"/>
  <c r="R225" i="1" s="1"/>
  <c r="R226" i="1" s="1"/>
  <c r="S225" i="1" s="1"/>
  <c r="S226" i="1" s="1"/>
  <c r="T225" i="1" s="1"/>
  <c r="T226" i="1" s="1"/>
  <c r="U225" i="1" s="1"/>
  <c r="U226" i="1" s="1"/>
  <c r="V225" i="1" s="1"/>
  <c r="V226" i="1" s="1"/>
  <c r="W225" i="1" s="1"/>
  <c r="W226" i="1" s="1"/>
  <c r="X225" i="1" s="1"/>
  <c r="X226" i="1" s="1"/>
  <c r="Y225" i="1" s="1"/>
  <c r="Y226" i="1" s="1"/>
  <c r="Z225" i="1" s="1"/>
  <c r="Z226" i="1" s="1"/>
  <c r="M188" i="1"/>
  <c r="G148" i="1"/>
  <c r="F145" i="1"/>
  <c r="V152" i="1"/>
  <c r="U145" i="1"/>
  <c r="E65" i="1"/>
  <c r="E180" i="1"/>
  <c r="E102" i="1" s="1"/>
  <c r="F190" i="1" l="1"/>
  <c r="F296" i="1" s="1"/>
  <c r="F295" i="1" s="1"/>
  <c r="F195" i="1"/>
  <c r="F189" i="1" s="1"/>
  <c r="E190" i="1"/>
  <c r="E296" i="1" s="1"/>
  <c r="G202" i="1"/>
  <c r="G189" i="1"/>
  <c r="V154" i="1"/>
  <c r="V143" i="1"/>
  <c r="G150" i="1"/>
  <c r="G143" i="1"/>
  <c r="E181" i="1"/>
  <c r="E286" i="1"/>
  <c r="E288" i="1" s="1"/>
  <c r="E289" i="1" s="1"/>
  <c r="E297" i="1" s="1"/>
  <c r="E98" i="1"/>
  <c r="E100" i="1"/>
  <c r="E309" i="1" s="1"/>
  <c r="G190" i="1" l="1"/>
  <c r="G296" i="1" s="1"/>
  <c r="G295" i="1" s="1"/>
  <c r="H201" i="1"/>
  <c r="E295" i="1"/>
  <c r="F181" i="1"/>
  <c r="G181" i="1" s="1"/>
  <c r="H181" i="1" s="1"/>
  <c r="I181" i="1" s="1"/>
  <c r="J181" i="1" s="1"/>
  <c r="K181" i="1" s="1"/>
  <c r="L181" i="1" s="1"/>
  <c r="M181" i="1" s="1"/>
  <c r="E310" i="1"/>
  <c r="E307" i="1" s="1"/>
  <c r="H148" i="1"/>
  <c r="G145" i="1"/>
  <c r="W152" i="1"/>
  <c r="V145" i="1"/>
  <c r="H189" i="1" l="1"/>
  <c r="H202" i="1"/>
  <c r="W154" i="1"/>
  <c r="W143" i="1"/>
  <c r="H150" i="1"/>
  <c r="H143" i="1"/>
  <c r="I201" i="1" l="1"/>
  <c r="H190" i="1"/>
  <c r="H296" i="1" s="1"/>
  <c r="H295" i="1" s="1"/>
  <c r="I148" i="1"/>
  <c r="H145" i="1"/>
  <c r="X152" i="1"/>
  <c r="W145" i="1"/>
  <c r="I189" i="1" l="1"/>
  <c r="I202" i="1"/>
  <c r="X154" i="1"/>
  <c r="X143" i="1"/>
  <c r="I150" i="1"/>
  <c r="I143" i="1"/>
  <c r="I190" i="1" l="1"/>
  <c r="I296" i="1" s="1"/>
  <c r="I295" i="1" s="1"/>
  <c r="J201" i="1"/>
  <c r="J148" i="1"/>
  <c r="I145" i="1"/>
  <c r="Y152" i="1"/>
  <c r="X145" i="1"/>
  <c r="J202" i="1" l="1"/>
  <c r="J189" i="1"/>
  <c r="Y154" i="1"/>
  <c r="Y143" i="1"/>
  <c r="J150" i="1"/>
  <c r="J143" i="1"/>
  <c r="J190" i="1" l="1"/>
  <c r="J296" i="1" s="1"/>
  <c r="J295" i="1" s="1"/>
  <c r="K201" i="1"/>
  <c r="K148" i="1"/>
  <c r="J145" i="1"/>
  <c r="Z152" i="1"/>
  <c r="Y145" i="1"/>
  <c r="K189" i="1" l="1"/>
  <c r="K202" i="1"/>
  <c r="Z154" i="1"/>
  <c r="Z143" i="1"/>
  <c r="K150" i="1"/>
  <c r="K143" i="1"/>
  <c r="K190" i="1" l="1"/>
  <c r="K296" i="1" s="1"/>
  <c r="L201" i="1"/>
  <c r="L148" i="1"/>
  <c r="K145" i="1"/>
  <c r="AA152" i="1"/>
  <c r="Z145" i="1"/>
  <c r="L189" i="1" l="1"/>
  <c r="L202" i="1"/>
  <c r="AA154" i="1"/>
  <c r="AA143" i="1"/>
  <c r="L150" i="1"/>
  <c r="L143" i="1"/>
  <c r="L190" i="1" l="1"/>
  <c r="L296" i="1" s="1"/>
  <c r="M201" i="1"/>
  <c r="M148" i="1"/>
  <c r="L145" i="1"/>
  <c r="AB152" i="1"/>
  <c r="AA145" i="1"/>
  <c r="M189" i="1" l="1"/>
  <c r="M202" i="1"/>
  <c r="AB154" i="1"/>
  <c r="AB143" i="1"/>
  <c r="M150" i="1"/>
  <c r="M143" i="1"/>
  <c r="M190" i="1" l="1"/>
  <c r="M296" i="1" s="1"/>
  <c r="N201" i="1"/>
  <c r="N148" i="1"/>
  <c r="M145" i="1"/>
  <c r="AC152" i="1"/>
  <c r="AB145" i="1"/>
  <c r="N189" i="1" l="1"/>
  <c r="N202" i="1"/>
  <c r="AC154" i="1"/>
  <c r="AC143" i="1"/>
  <c r="N150" i="1"/>
  <c r="N143" i="1"/>
  <c r="N190" i="1" l="1"/>
  <c r="N296" i="1" s="1"/>
  <c r="O201" i="1"/>
  <c r="O148" i="1"/>
  <c r="N145" i="1"/>
  <c r="AD152" i="1"/>
  <c r="AC145" i="1"/>
  <c r="O189" i="1" l="1"/>
  <c r="O202" i="1"/>
  <c r="AD154" i="1"/>
  <c r="AD143" i="1"/>
  <c r="O150" i="1"/>
  <c r="O143" i="1"/>
  <c r="O190" i="1" l="1"/>
  <c r="O296" i="1" s="1"/>
  <c r="P201" i="1"/>
  <c r="P148" i="1"/>
  <c r="O145" i="1"/>
  <c r="AE152" i="1"/>
  <c r="AD145" i="1"/>
  <c r="P189" i="1" l="1"/>
  <c r="P202" i="1"/>
  <c r="AE154" i="1"/>
  <c r="AE143" i="1"/>
  <c r="P150" i="1"/>
  <c r="P143" i="1"/>
  <c r="P190" i="1" l="1"/>
  <c r="P296" i="1" s="1"/>
  <c r="Q201" i="1"/>
  <c r="Q148" i="1"/>
  <c r="P145" i="1"/>
  <c r="AF152" i="1"/>
  <c r="AE145" i="1"/>
  <c r="Q189" i="1" l="1"/>
  <c r="Q202" i="1"/>
  <c r="AF154" i="1"/>
  <c r="AF143" i="1"/>
  <c r="Q150" i="1"/>
  <c r="Q143" i="1"/>
  <c r="Q190" i="1" l="1"/>
  <c r="R201" i="1"/>
  <c r="R148" i="1"/>
  <c r="Q145" i="1"/>
  <c r="AG152" i="1"/>
  <c r="AF145" i="1"/>
  <c r="R189" i="1" l="1"/>
  <c r="R202" i="1"/>
  <c r="AG154" i="1"/>
  <c r="AG143" i="1"/>
  <c r="R150" i="1"/>
  <c r="R143" i="1"/>
  <c r="S201" i="1" l="1"/>
  <c r="R190" i="1"/>
  <c r="S148" i="1"/>
  <c r="R145" i="1"/>
  <c r="AH152" i="1"/>
  <c r="AG145" i="1"/>
  <c r="S202" i="1" l="1"/>
  <c r="S189" i="1"/>
  <c r="AH154" i="1"/>
  <c r="AH143" i="1"/>
  <c r="S150" i="1"/>
  <c r="S145" i="1" s="1"/>
  <c r="S143" i="1"/>
  <c r="T201" i="1" l="1"/>
  <c r="S190" i="1"/>
  <c r="AI152" i="1"/>
  <c r="AH145" i="1"/>
  <c r="T202" i="1" l="1"/>
  <c r="T189" i="1"/>
  <c r="AI154" i="1"/>
  <c r="AI143" i="1"/>
  <c r="U201" i="1" l="1"/>
  <c r="T190" i="1"/>
  <c r="AJ152" i="1"/>
  <c r="AI145" i="1"/>
  <c r="U202" i="1" l="1"/>
  <c r="U189" i="1"/>
  <c r="AJ154" i="1"/>
  <c r="AJ143" i="1"/>
  <c r="V201" i="1" l="1"/>
  <c r="U190" i="1"/>
  <c r="AK152" i="1"/>
  <c r="AJ145" i="1"/>
  <c r="V202" i="1" l="1"/>
  <c r="V189" i="1"/>
  <c r="AK154" i="1"/>
  <c r="AK145" i="1" s="1"/>
  <c r="AK143" i="1"/>
  <c r="W201" i="1" l="1"/>
  <c r="V190" i="1"/>
  <c r="W202" i="1" l="1"/>
  <c r="W189" i="1"/>
  <c r="X201" i="1" l="1"/>
  <c r="W190" i="1"/>
  <c r="X202" i="1" l="1"/>
  <c r="X189" i="1"/>
  <c r="Y201" i="1" l="1"/>
  <c r="X190" i="1"/>
  <c r="Y202" i="1" l="1"/>
  <c r="Y189" i="1"/>
  <c r="Z201" i="1" l="1"/>
  <c r="Y190" i="1"/>
  <c r="Z202" i="1" l="1"/>
  <c r="Z190" i="1" s="1"/>
  <c r="Z189" i="1"/>
</calcChain>
</file>

<file path=xl/sharedStrings.xml><?xml version="1.0" encoding="utf-8"?>
<sst xmlns="http://schemas.openxmlformats.org/spreadsheetml/2006/main" count="323" uniqueCount="199">
  <si>
    <t>Маржинальная прибыль</t>
  </si>
  <si>
    <t>Общепроизводственные расходы</t>
  </si>
  <si>
    <t>Инженер</t>
  </si>
  <si>
    <t>Наладчик</t>
  </si>
  <si>
    <t>Сервисный инженер</t>
  </si>
  <si>
    <t>Услуги подрядчиков</t>
  </si>
  <si>
    <t>Доставка</t>
  </si>
  <si>
    <t>Командировка</t>
  </si>
  <si>
    <t>Прямые</t>
  </si>
  <si>
    <t>постоянные</t>
  </si>
  <si>
    <t>Косвенные</t>
  </si>
  <si>
    <t>то что можно четко отнести на конкретное направление</t>
  </si>
  <si>
    <t>переменные</t>
  </si>
  <si>
    <t>меняются пропорционально выручке</t>
  </si>
  <si>
    <t>не зависят на прямую от выруки</t>
  </si>
  <si>
    <t>Переменные расходы (прямые)</t>
  </si>
  <si>
    <t>есть общий подход для расчета</t>
  </si>
  <si>
    <t>маржинальности и валовой прибыли по направлениям</t>
  </si>
  <si>
    <t>но если мы четко понимаем что какие-то расходы</t>
  </si>
  <si>
    <t>четко ложаться на конкретное направление</t>
  </si>
  <si>
    <t>то под моделью в подвале мы делаем для информации</t>
  </si>
  <si>
    <t>например кредит четко под это направление</t>
  </si>
  <si>
    <t>лизинг четко под это направление</t>
  </si>
  <si>
    <t>амортизация четко под это направление</t>
  </si>
  <si>
    <t>налог четко под это направление</t>
  </si>
  <si>
    <t>и тд</t>
  </si>
  <si>
    <t>расчет маржи и валовой прибыли с учетом всех этих расходов</t>
  </si>
  <si>
    <t>Сравниваем направления</t>
  </si>
  <si>
    <t>первое - направление покрывает свои расходы</t>
  </si>
  <si>
    <t>второе - есть вклад в общаг</t>
  </si>
  <si>
    <t>два варианта опиу</t>
  </si>
  <si>
    <t>по направлениям</t>
  </si>
  <si>
    <t>по переменные постоянные</t>
  </si>
  <si>
    <t>прямые и косвенные</t>
  </si>
  <si>
    <t>Н1</t>
  </si>
  <si>
    <t>Н2</t>
  </si>
  <si>
    <t>Н3</t>
  </si>
  <si>
    <t>переменные прямые</t>
  </si>
  <si>
    <t>общепроизводственные прямые постоянные</t>
  </si>
  <si>
    <t>косвенные административные</t>
  </si>
  <si>
    <t>косвенные коммерческие</t>
  </si>
  <si>
    <t>Выручка ОД</t>
  </si>
  <si>
    <t>Себестоимсоть сырья ОД</t>
  </si>
  <si>
    <t>Заработная плата ОД</t>
  </si>
  <si>
    <t>Оборудование и инструменты</t>
  </si>
  <si>
    <t>Валовая прибыль</t>
  </si>
  <si>
    <t>рентабельность по валовой прибыли направления</t>
  </si>
  <si>
    <t>рентабельность по маржинальной прибыли направления</t>
  </si>
  <si>
    <t>Косвенные расходы</t>
  </si>
  <si>
    <t>Косвенные коммерческие</t>
  </si>
  <si>
    <t>Косвенные административные</t>
  </si>
  <si>
    <t>Заработная плата отдела продаж</t>
  </si>
  <si>
    <t>Расходы на рекламу</t>
  </si>
  <si>
    <t>Прочие расходы</t>
  </si>
  <si>
    <t>Постоянная</t>
  </si>
  <si>
    <t>Переменная</t>
  </si>
  <si>
    <t>Аренда офиса и коммунальные</t>
  </si>
  <si>
    <t>Перхушково (аренда)</t>
  </si>
  <si>
    <t>Перхушково (коммунальные)</t>
  </si>
  <si>
    <t>Одинцово (аренда)</t>
  </si>
  <si>
    <t>Одинцово (коммунальные)</t>
  </si>
  <si>
    <t>Калининград (аренда)</t>
  </si>
  <si>
    <t>Калининград (коммунальные)</t>
  </si>
  <si>
    <t>Крым (аренда)</t>
  </si>
  <si>
    <t>Крым (коммунальные)</t>
  </si>
  <si>
    <t>Содержание офиса</t>
  </si>
  <si>
    <t>Заработная плата адм. персонала</t>
  </si>
  <si>
    <t>Генеральный директор</t>
  </si>
  <si>
    <t>Административный директор</t>
  </si>
  <si>
    <t>Главный бухгалтер</t>
  </si>
  <si>
    <t>Бухгалтер</t>
  </si>
  <si>
    <t>Финансовый менеджер</t>
  </si>
  <si>
    <t>РКО</t>
  </si>
  <si>
    <t>Логистика</t>
  </si>
  <si>
    <t>Интернет сервисы</t>
  </si>
  <si>
    <t>Налоги с ФОТ</t>
  </si>
  <si>
    <t>Обслуживание, ремонт, страховка авто</t>
  </si>
  <si>
    <t>Топливо</t>
  </si>
  <si>
    <t>Прочее</t>
  </si>
  <si>
    <t>Битрикс24</t>
  </si>
  <si>
    <t>Мой склад</t>
  </si>
  <si>
    <t>1с</t>
  </si>
  <si>
    <t>10%+50%</t>
  </si>
  <si>
    <t>Операционная прибыль</t>
  </si>
  <si>
    <t>рентабельность по операционной прибыли</t>
  </si>
  <si>
    <t>Фиксированные взносы и налоги ИП</t>
  </si>
  <si>
    <t>Лизинг-001</t>
  </si>
  <si>
    <t>Лизинг-002</t>
  </si>
  <si>
    <t>Лизинг-003</t>
  </si>
  <si>
    <t>Лизинг-004</t>
  </si>
  <si>
    <t>Лизинг-005</t>
  </si>
  <si>
    <t>Лизинг-006</t>
  </si>
  <si>
    <t>Лизинг-007</t>
  </si>
  <si>
    <t>Проценты по лизингу</t>
  </si>
  <si>
    <t>Проценты по кредиту</t>
  </si>
  <si>
    <t>Амортизация</t>
  </si>
  <si>
    <t>Авто-001 (Ларгус1)</t>
  </si>
  <si>
    <t>Авто-002 (Ларгус2)</t>
  </si>
  <si>
    <t>Авто-003 (Гранта)</t>
  </si>
  <si>
    <t>Авто-004 (Audi)</t>
  </si>
  <si>
    <t>Авто-005 (Volvo)</t>
  </si>
  <si>
    <t>Авто-006 (Haval)</t>
  </si>
  <si>
    <t>Авто-007 (Skoda)</t>
  </si>
  <si>
    <t>Кредит008 ГлобалМ Тбанк (10 000 000 руб)</t>
  </si>
  <si>
    <t>Кредит006 Анатолий Сбер (26 450 руб)</t>
  </si>
  <si>
    <t>Кредит007 Анатолий Альфа (20 400 руб)</t>
  </si>
  <si>
    <t>Кредит003 ГлобалМ Сбер (7 354 285 руб) 26 мес с 14-01-2026</t>
  </si>
  <si>
    <t>Кредит001 ГлобалМ Сбер (4 420 000 руб) 17 мес с 19-01-2026</t>
  </si>
  <si>
    <t>Кредит002 ИП Карасев Сбер (4 167 765 руб) 33 мес с 21-01-2026</t>
  </si>
  <si>
    <t>Кредит004 ИП Шалимов Сбер (5 333 333 руб) 24 мес с 26-01-2026</t>
  </si>
  <si>
    <t>Кредит005 ИП Шалимов Сбер (268 325 руб) 16 мес с 19-01-2026</t>
  </si>
  <si>
    <t>Расходы после операционной прибыли</t>
  </si>
  <si>
    <t>Чистая прибыль</t>
  </si>
  <si>
    <t>рентабельность по чистой прибыли</t>
  </si>
  <si>
    <t>ЧП накопленным итогом</t>
  </si>
  <si>
    <t>Финансовая деятельность</t>
  </si>
  <si>
    <t>Кредит на начало месяца</t>
  </si>
  <si>
    <t>Тело кредита</t>
  </si>
  <si>
    <t>Кредит на конец месяца</t>
  </si>
  <si>
    <t>Кредит001</t>
  </si>
  <si>
    <t>Кредит002</t>
  </si>
  <si>
    <t>Кредит003</t>
  </si>
  <si>
    <t>Кредит004</t>
  </si>
  <si>
    <t>Кредит005</t>
  </si>
  <si>
    <t>Кредит006</t>
  </si>
  <si>
    <t>Кредит007</t>
  </si>
  <si>
    <t>Кредит008</t>
  </si>
  <si>
    <t>Кредит (тело)</t>
  </si>
  <si>
    <t>Лизинг (тело)</t>
  </si>
  <si>
    <t>Лизинг на начало месяца</t>
  </si>
  <si>
    <t>Тело Лизинга</t>
  </si>
  <si>
    <t>Лизинг на конец месяца</t>
  </si>
  <si>
    <t>Лизинг007 (Skoda Karoq)</t>
  </si>
  <si>
    <t>Лизинг006 (Haval Dargo)</t>
  </si>
  <si>
    <t>Лизинг005 (Volvo хс60)</t>
  </si>
  <si>
    <t>Лизинг004 (Audi А6)</t>
  </si>
  <si>
    <t>Лизинг003 (Лада Гранта)</t>
  </si>
  <si>
    <t>Лизинг002 (Лада Ларгус)</t>
  </si>
  <si>
    <t>Лизинг001 (Лада Ларгус)</t>
  </si>
  <si>
    <t>Дивиденды</t>
  </si>
  <si>
    <t>дивиденды накопленным итогом</t>
  </si>
  <si>
    <t>Инвестиционная деятельность</t>
  </si>
  <si>
    <t>Вложения собственника</t>
  </si>
  <si>
    <t>Сумма купленных ОС</t>
  </si>
  <si>
    <t>Сумма ежемесячной амортизации</t>
  </si>
  <si>
    <t>Основные средства на начальный период</t>
  </si>
  <si>
    <t>Основные средства на конечный период</t>
  </si>
  <si>
    <t>Срок полезного использования ОС, в мес.</t>
  </si>
  <si>
    <t>Авто001 (Лада Ларгус)</t>
  </si>
  <si>
    <t>Авто002 (Лада Ларгус)</t>
  </si>
  <si>
    <t>Авто003 (Лада Гранта)</t>
  </si>
  <si>
    <t>Авто004 (Audi А6)</t>
  </si>
  <si>
    <t>Авто005 (Volvo хс60)</t>
  </si>
  <si>
    <t>Авто006 (Haval Dargo)</t>
  </si>
  <si>
    <t>Авто007 (Skoda Karoq)</t>
  </si>
  <si>
    <t>Оборотный капитал</t>
  </si>
  <si>
    <t>Изменение оборотного капитала</t>
  </si>
  <si>
    <t>Запасы</t>
  </si>
  <si>
    <t>Период оборота запасов, дн</t>
  </si>
  <si>
    <t>Запасы на начало месяца</t>
  </si>
  <si>
    <t>Запасы на конец месяца</t>
  </si>
  <si>
    <t>Изменение запасов</t>
  </si>
  <si>
    <t>Дебиторская задолженность</t>
  </si>
  <si>
    <t>Период оборота ДЗ, дн</t>
  </si>
  <si>
    <t>ДЗ на начало месяца</t>
  </si>
  <si>
    <t>ДЗ на конец месяца</t>
  </si>
  <si>
    <t>Изменение ДЗ</t>
  </si>
  <si>
    <t>Нам должны поставщики отгрузить товаров</t>
  </si>
  <si>
    <t>Нам должны клиенты денег за отгруженные нами товары</t>
  </si>
  <si>
    <t>Кредиторская задолженность</t>
  </si>
  <si>
    <t>Период оборота КЗ, дн</t>
  </si>
  <si>
    <t>КЗ на начало месяца</t>
  </si>
  <si>
    <t>КЗ на конец месяца</t>
  </si>
  <si>
    <t>Изменение КЗ</t>
  </si>
  <si>
    <t>Мы должны поставщикам деньги</t>
  </si>
  <si>
    <t>Мы должны клиентам товары</t>
  </si>
  <si>
    <t>ДДС</t>
  </si>
  <si>
    <t>Деньги на начало месяца</t>
  </si>
  <si>
    <t>Денежный поток по операционной деятельности</t>
  </si>
  <si>
    <t>Денежный поток по финансовой деятельности</t>
  </si>
  <si>
    <t>Денежный поток по инвестиционной деятельности</t>
  </si>
  <si>
    <t>Чистый денежный поток</t>
  </si>
  <si>
    <t>Деньги на конец месяца</t>
  </si>
  <si>
    <t>Баланс</t>
  </si>
  <si>
    <t>Активы</t>
  </si>
  <si>
    <t>Собственный капитал</t>
  </si>
  <si>
    <t>Обязательства</t>
  </si>
  <si>
    <t>Основные средства</t>
  </si>
  <si>
    <t>Деньги</t>
  </si>
  <si>
    <t>Уставной капитал</t>
  </si>
  <si>
    <t>Накопленная прибыль</t>
  </si>
  <si>
    <t>Кредиты и займы</t>
  </si>
  <si>
    <t>s</t>
  </si>
  <si>
    <t>Налог на прибыль</t>
  </si>
  <si>
    <t>прочее</t>
  </si>
  <si>
    <t>Справочно</t>
  </si>
  <si>
    <t>z</t>
  </si>
  <si>
    <t>Зарплата всего</t>
  </si>
  <si>
    <t>Благотворительные пожертвования 100тр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</si>
</sst>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color theme="0" tint="-0.49998474074526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 tint="-0.24997711111789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indent="2"/>
    </xf>
    <xf numFmtId="0" fontId="2" fillId="0" borderId="1" xfId="0" applyFont="1" applyBorder="1"/>
    <xf numFmtId="3" fontId="0" fillId="0" borderId="0" xfId="0" applyNumberFormat="1"/>
    <xf numFmtId="3" fontId="2" fillId="0" borderId="0" xfId="0" applyNumberFormat="1" applyFont="1"/>
    <xf numFmtId="0" fontId="2" fillId="0" borderId="0" xfId="0" applyFont="1" applyBorder="1"/>
    <xf numFmtId="9" fontId="0" fillId="0" borderId="0" xfId="0" applyNumberFormat="1" applyAlignment="1">
      <alignment horizontal="left" indent="2"/>
    </xf>
    <xf numFmtId="9" fontId="0" fillId="0" borderId="0" xfId="1" applyFont="1"/>
    <xf numFmtId="9" fontId="0" fillId="0" borderId="0" xfId="0" applyNumberFormat="1"/>
    <xf numFmtId="0" fontId="0" fillId="0" borderId="2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left" indent="4"/>
    </xf>
    <xf numFmtId="3" fontId="3" fillId="0" borderId="0" xfId="0" applyNumberFormat="1" applyFont="1"/>
    <xf numFmtId="9" fontId="3" fillId="0" borderId="0" xfId="0" applyNumberFormat="1" applyFont="1"/>
    <xf numFmtId="0" fontId="3" fillId="0" borderId="0" xfId="0" applyFont="1" applyAlignment="1">
      <alignment horizontal="left" indent="2"/>
    </xf>
    <xf numFmtId="3" fontId="0" fillId="0" borderId="0" xfId="0" applyNumberFormat="1" applyAlignment="1">
      <alignment horizontal="right"/>
    </xf>
    <xf numFmtId="0" fontId="2" fillId="3" borderId="1" xfId="0" applyFont="1" applyFill="1" applyBorder="1"/>
    <xf numFmtId="0" fontId="0" fillId="3" borderId="0" xfId="0" applyFill="1"/>
    <xf numFmtId="3" fontId="2" fillId="3" borderId="0" xfId="0" applyNumberFormat="1" applyFont="1" applyFill="1"/>
    <xf numFmtId="3" fontId="5" fillId="2" borderId="0" xfId="0" applyNumberFormat="1" applyFont="1" applyFill="1" applyAlignment="1">
      <alignment horizontal="right"/>
    </xf>
    <xf numFmtId="3" fontId="5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6" fillId="0" borderId="0" xfId="0" applyFont="1" applyAlignment="1">
      <alignment horizontal="left" indent="4"/>
    </xf>
    <xf numFmtId="0" fontId="6" fillId="0" borderId="0" xfId="0" applyFont="1"/>
    <xf numFmtId="0" fontId="6" fillId="0" borderId="0" xfId="0" applyFont="1" applyAlignment="1">
      <alignment horizontal="left" indent="2"/>
    </xf>
    <xf numFmtId="0" fontId="0" fillId="0" borderId="0" xfId="0" applyFont="1" applyFill="1" applyBorder="1"/>
    <xf numFmtId="3" fontId="6" fillId="0" borderId="0" xfId="0" applyNumberFormat="1" applyFont="1"/>
    <xf numFmtId="3" fontId="7" fillId="0" borderId="0" xfId="0" applyNumberFormat="1" applyFont="1"/>
    <xf numFmtId="164" fontId="0" fillId="0" borderId="0" xfId="2" applyNumberFormat="1" applyFont="1"/>
    <xf numFmtId="164" fontId="0" fillId="0" borderId="0" xfId="0" applyNumberFormat="1"/>
    <xf numFmtId="0" fontId="8" fillId="0" borderId="0" xfId="0" applyFont="1"/>
    <xf numFmtId="17" fontId="0" fillId="0" borderId="0" xfId="0" applyNumberFormat="1"/>
  </cellXfs>
  <cellStyles count="3">
    <cellStyle name="Обычный" xfId="0" builtinId="0"/>
    <cellStyle name="Процентный" xfId="1" builtinId="5"/>
    <cellStyle name="Финансовый" xfId="2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8450-E3C2-4F25-98FA-58A5955ECCC3}">
  <sheetPr>
    <outlinePr summaryBelow="0"/>
  </sheetPr>
  <dimension ref="A1:AK365"/>
  <sheetViews>
    <sheetView tabSelected="1" workbookViewId="0">
      <selection activeCell="E2" sqref="E2"/>
    </sheetView>
  </sheetViews>
  <sheetFormatPr defaultRowHeight="14.4" outlineLevelRow="2" x14ac:dyDescent="0.3"/>
  <cols>
    <col min="1" max="1" width="3.21875" style="33" customWidth="1"/>
    <col min="2" max="2" width="3.109375" style="33" customWidth="1"/>
    <col min="3" max="3" width="65.33203125" customWidth="1"/>
    <col min="4" max="4" width="14.44140625" customWidth="1"/>
    <col min="5" max="16" width="11.5546875" customWidth="1"/>
    <col min="17" max="22" width="9.77734375" customWidth="1"/>
  </cols>
  <sheetData>
    <row r="1" spans="1:13" x14ac:dyDescent="0.3">
      <c r="E1" s="34">
        <v>46023</v>
      </c>
    </row>
    <row r="2" spans="1:13" x14ac:dyDescent="0.3">
      <c r="C2" s="2" t="s">
        <v>41</v>
      </c>
      <c r="D2" s="5"/>
      <c r="E2" s="4">
        <v>8000000</v>
      </c>
    </row>
    <row r="3" spans="1:13" ht="15" thickBot="1" x14ac:dyDescent="0.35">
      <c r="C3" s="1"/>
      <c r="D3" s="1"/>
      <c r="E3" s="3"/>
      <c r="K3" t="s">
        <v>34</v>
      </c>
      <c r="L3" t="s">
        <v>35</v>
      </c>
      <c r="M3" t="s">
        <v>36</v>
      </c>
    </row>
    <row r="4" spans="1:13" ht="15" thickBot="1" x14ac:dyDescent="0.35">
      <c r="C4" s="2" t="s">
        <v>15</v>
      </c>
      <c r="D4" s="5"/>
      <c r="E4" s="4">
        <f>SUM(E5)</f>
        <v>-1600000</v>
      </c>
      <c r="I4" s="10" t="s">
        <v>37</v>
      </c>
      <c r="J4" s="10"/>
      <c r="K4" s="9"/>
      <c r="L4" s="9"/>
      <c r="M4" s="9"/>
    </row>
    <row r="5" spans="1:13" ht="15" thickBot="1" x14ac:dyDescent="0.35">
      <c r="B5" s="33" t="s">
        <v>192</v>
      </c>
      <c r="C5" s="1" t="s">
        <v>42</v>
      </c>
      <c r="D5" s="6">
        <v>0.2</v>
      </c>
      <c r="E5" s="3">
        <f>-E2*D5</f>
        <v>-1600000</v>
      </c>
      <c r="I5" s="10" t="s">
        <v>38</v>
      </c>
      <c r="J5" s="10"/>
      <c r="K5" s="11"/>
      <c r="L5" s="12"/>
      <c r="M5" s="9"/>
    </row>
    <row r="6" spans="1:13" ht="15" thickBot="1" x14ac:dyDescent="0.35">
      <c r="I6" s="10" t="s">
        <v>40</v>
      </c>
      <c r="J6" s="10"/>
      <c r="K6" s="9"/>
      <c r="L6" s="12"/>
      <c r="M6" s="9"/>
    </row>
    <row r="7" spans="1:13" ht="15" thickBot="1" x14ac:dyDescent="0.35">
      <c r="C7" s="19" t="s">
        <v>0</v>
      </c>
      <c r="D7" s="20"/>
      <c r="E7" s="21">
        <f>E2+E4</f>
        <v>6400000</v>
      </c>
      <c r="I7" s="10" t="s">
        <v>39</v>
      </c>
      <c r="J7" s="10"/>
      <c r="K7" s="11"/>
      <c r="L7" s="13"/>
      <c r="M7" s="12"/>
    </row>
    <row r="8" spans="1:13" x14ac:dyDescent="0.3">
      <c r="C8" s="1" t="s">
        <v>47</v>
      </c>
      <c r="E8" s="7">
        <f>E7/E2</f>
        <v>0.8</v>
      </c>
    </row>
    <row r="9" spans="1:13" x14ac:dyDescent="0.3">
      <c r="C9" s="1"/>
      <c r="D9" s="6"/>
      <c r="E9" s="3"/>
    </row>
    <row r="10" spans="1:13" x14ac:dyDescent="0.3">
      <c r="C10" s="2" t="s">
        <v>1</v>
      </c>
      <c r="D10" s="5"/>
      <c r="E10" s="4">
        <f>SUMIFS(E11:E18,B11:B18,"s")</f>
        <v>-1780000</v>
      </c>
    </row>
    <row r="11" spans="1:13" collapsed="1" x14ac:dyDescent="0.3">
      <c r="A11" s="33" t="s">
        <v>196</v>
      </c>
      <c r="B11" s="33" t="s">
        <v>192</v>
      </c>
      <c r="C11" s="1" t="s">
        <v>43</v>
      </c>
      <c r="D11" s="1"/>
      <c r="E11" s="3">
        <f>SUM(E12:E14)</f>
        <v>-260000</v>
      </c>
    </row>
    <row r="12" spans="1:13" hidden="1" outlineLevel="1" x14ac:dyDescent="0.3">
      <c r="C12" s="14" t="s">
        <v>2</v>
      </c>
      <c r="D12" s="17"/>
      <c r="E12" s="15">
        <v>-90000</v>
      </c>
    </row>
    <row r="13" spans="1:13" hidden="1" outlineLevel="1" x14ac:dyDescent="0.3">
      <c r="C13" s="14" t="s">
        <v>3</v>
      </c>
      <c r="D13" s="17"/>
      <c r="E13" s="15">
        <v>-80000</v>
      </c>
    </row>
    <row r="14" spans="1:13" hidden="1" outlineLevel="1" x14ac:dyDescent="0.3">
      <c r="C14" s="14" t="s">
        <v>4</v>
      </c>
      <c r="D14" s="17"/>
      <c r="E14" s="15">
        <v>-90000</v>
      </c>
    </row>
    <row r="15" spans="1:13" x14ac:dyDescent="0.3">
      <c r="B15" s="33" t="s">
        <v>192</v>
      </c>
      <c r="C15" s="1" t="s">
        <v>5</v>
      </c>
      <c r="D15" s="8">
        <v>0.1</v>
      </c>
      <c r="E15" s="3">
        <f>-E2*D15</f>
        <v>-800000</v>
      </c>
    </row>
    <row r="16" spans="1:13" x14ac:dyDescent="0.3">
      <c r="B16" s="33" t="s">
        <v>192</v>
      </c>
      <c r="C16" s="1" t="s">
        <v>6</v>
      </c>
      <c r="D16" s="8">
        <v>0.03</v>
      </c>
      <c r="E16" s="3">
        <f>-E2*D16</f>
        <v>-240000</v>
      </c>
    </row>
    <row r="17" spans="1:5" x14ac:dyDescent="0.3">
      <c r="B17" s="33" t="s">
        <v>192</v>
      </c>
      <c r="C17" s="1" t="s">
        <v>7</v>
      </c>
      <c r="D17" s="8">
        <v>0.05</v>
      </c>
      <c r="E17" s="3">
        <f>-E2*D17</f>
        <v>-400000</v>
      </c>
    </row>
    <row r="18" spans="1:5" x14ac:dyDescent="0.3">
      <c r="B18" s="33" t="s">
        <v>192</v>
      </c>
      <c r="C18" s="1" t="s">
        <v>44</v>
      </c>
      <c r="D18" s="8">
        <v>0.01</v>
      </c>
      <c r="E18" s="3">
        <f>-E2*D18</f>
        <v>-80000</v>
      </c>
    </row>
    <row r="20" spans="1:5" x14ac:dyDescent="0.3">
      <c r="C20" s="19" t="s">
        <v>45</v>
      </c>
      <c r="D20" s="20"/>
      <c r="E20" s="21">
        <f>E15+E17</f>
        <v>-1200000</v>
      </c>
    </row>
    <row r="21" spans="1:5" x14ac:dyDescent="0.3">
      <c r="C21" s="1" t="s">
        <v>46</v>
      </c>
      <c r="E21" s="7">
        <f>E20/E2</f>
        <v>-0.15</v>
      </c>
    </row>
    <row r="24" spans="1:5" x14ac:dyDescent="0.3">
      <c r="C24" s="2" t="s">
        <v>48</v>
      </c>
      <c r="D24" s="5"/>
      <c r="E24" s="4">
        <f>E26+E33</f>
        <v>-2700000</v>
      </c>
    </row>
    <row r="25" spans="1:5" x14ac:dyDescent="0.3">
      <c r="E25" s="3"/>
    </row>
    <row r="26" spans="1:5" x14ac:dyDescent="0.3">
      <c r="C26" s="2" t="s">
        <v>49</v>
      </c>
      <c r="E26" s="4">
        <f>SUMIFS(E27:E32,B27:B32,"s")</f>
        <v>-760000</v>
      </c>
    </row>
    <row r="27" spans="1:5" collapsed="1" x14ac:dyDescent="0.3">
      <c r="A27" s="33" t="s">
        <v>196</v>
      </c>
      <c r="B27" s="33" t="s">
        <v>192</v>
      </c>
      <c r="C27" s="1" t="s">
        <v>51</v>
      </c>
      <c r="D27" s="1"/>
      <c r="E27" s="3">
        <f>E28+E29</f>
        <v>-510000</v>
      </c>
    </row>
    <row r="28" spans="1:5" hidden="1" outlineLevel="1" x14ac:dyDescent="0.3">
      <c r="C28" s="14" t="s">
        <v>54</v>
      </c>
      <c r="D28" s="15">
        <v>350000</v>
      </c>
      <c r="E28" s="15">
        <f>-D28</f>
        <v>-350000</v>
      </c>
    </row>
    <row r="29" spans="1:5" hidden="1" outlineLevel="1" x14ac:dyDescent="0.3">
      <c r="C29" s="14" t="s">
        <v>55</v>
      </c>
      <c r="D29" s="16">
        <v>0.02</v>
      </c>
      <c r="E29" s="15">
        <f>-E2*D29</f>
        <v>-160000</v>
      </c>
    </row>
    <row r="30" spans="1:5" x14ac:dyDescent="0.3">
      <c r="B30" s="33" t="s">
        <v>192</v>
      </c>
      <c r="C30" s="1" t="s">
        <v>52</v>
      </c>
      <c r="D30" s="3">
        <v>200000</v>
      </c>
      <c r="E30" s="3">
        <f>-D30</f>
        <v>-200000</v>
      </c>
    </row>
    <row r="31" spans="1:5" x14ac:dyDescent="0.3">
      <c r="B31" s="33" t="s">
        <v>192</v>
      </c>
      <c r="C31" s="1" t="s">
        <v>53</v>
      </c>
      <c r="D31" s="3">
        <v>50000</v>
      </c>
      <c r="E31" s="3">
        <f>-D31</f>
        <v>-50000</v>
      </c>
    </row>
    <row r="33" spans="1:5" x14ac:dyDescent="0.3">
      <c r="C33" s="2" t="s">
        <v>50</v>
      </c>
      <c r="E33" s="4">
        <f>SUMIFS(E34:E63,B34:B63,"s")</f>
        <v>-1940000</v>
      </c>
    </row>
    <row r="34" spans="1:5" collapsed="1" x14ac:dyDescent="0.3">
      <c r="B34" s="33" t="s">
        <v>192</v>
      </c>
      <c r="C34" s="1" t="s">
        <v>56</v>
      </c>
      <c r="D34" s="1"/>
      <c r="E34" s="3">
        <f>SUM(E35:E42)</f>
        <v>-294000</v>
      </c>
    </row>
    <row r="35" spans="1:5" hidden="1" outlineLevel="1" x14ac:dyDescent="0.3">
      <c r="C35" s="14" t="s">
        <v>57</v>
      </c>
      <c r="D35" s="15">
        <v>200000</v>
      </c>
      <c r="E35" s="15">
        <f t="shared" ref="E35:E43" si="0">-D35</f>
        <v>-200000</v>
      </c>
    </row>
    <row r="36" spans="1:5" hidden="1" outlineLevel="1" x14ac:dyDescent="0.3">
      <c r="C36" s="14" t="s">
        <v>58</v>
      </c>
      <c r="D36" s="15">
        <v>35000</v>
      </c>
      <c r="E36" s="15">
        <f t="shared" si="0"/>
        <v>-35000</v>
      </c>
    </row>
    <row r="37" spans="1:5" hidden="1" outlineLevel="1" x14ac:dyDescent="0.3">
      <c r="C37" s="14" t="s">
        <v>59</v>
      </c>
      <c r="D37" s="15">
        <v>26000</v>
      </c>
      <c r="E37" s="15">
        <f t="shared" si="0"/>
        <v>-26000</v>
      </c>
    </row>
    <row r="38" spans="1:5" hidden="1" outlineLevel="1" x14ac:dyDescent="0.3">
      <c r="C38" s="14" t="s">
        <v>60</v>
      </c>
      <c r="D38" s="15">
        <v>0</v>
      </c>
      <c r="E38" s="15">
        <f t="shared" si="0"/>
        <v>0</v>
      </c>
    </row>
    <row r="39" spans="1:5" hidden="1" outlineLevel="1" x14ac:dyDescent="0.3">
      <c r="C39" s="14" t="s">
        <v>61</v>
      </c>
      <c r="D39" s="15">
        <v>0</v>
      </c>
      <c r="E39" s="15">
        <f t="shared" si="0"/>
        <v>0</v>
      </c>
    </row>
    <row r="40" spans="1:5" hidden="1" outlineLevel="1" x14ac:dyDescent="0.3">
      <c r="C40" s="14" t="s">
        <v>62</v>
      </c>
      <c r="D40" s="15">
        <v>0</v>
      </c>
      <c r="E40" s="15">
        <f t="shared" si="0"/>
        <v>0</v>
      </c>
    </row>
    <row r="41" spans="1:5" hidden="1" outlineLevel="1" x14ac:dyDescent="0.3">
      <c r="C41" s="14" t="s">
        <v>63</v>
      </c>
      <c r="D41" s="15">
        <v>18000</v>
      </c>
      <c r="E41" s="15">
        <f t="shared" si="0"/>
        <v>-18000</v>
      </c>
    </row>
    <row r="42" spans="1:5" hidden="1" outlineLevel="1" x14ac:dyDescent="0.3">
      <c r="C42" s="14" t="s">
        <v>64</v>
      </c>
      <c r="D42" s="15">
        <v>15000</v>
      </c>
      <c r="E42" s="15">
        <f t="shared" si="0"/>
        <v>-15000</v>
      </c>
    </row>
    <row r="43" spans="1:5" x14ac:dyDescent="0.3">
      <c r="B43" s="33" t="s">
        <v>192</v>
      </c>
      <c r="C43" s="1" t="s">
        <v>65</v>
      </c>
      <c r="D43" s="3">
        <v>50000</v>
      </c>
      <c r="E43" s="3">
        <f t="shared" si="0"/>
        <v>-50000</v>
      </c>
    </row>
    <row r="44" spans="1:5" collapsed="1" x14ac:dyDescent="0.3">
      <c r="A44" s="33" t="s">
        <v>196</v>
      </c>
      <c r="B44" s="33" t="s">
        <v>192</v>
      </c>
      <c r="C44" s="1" t="s">
        <v>66</v>
      </c>
      <c r="D44" s="8"/>
      <c r="E44" s="3">
        <f>SUM(E45:E49)</f>
        <v>-500000</v>
      </c>
    </row>
    <row r="45" spans="1:5" hidden="1" outlineLevel="1" x14ac:dyDescent="0.3">
      <c r="C45" s="14" t="s">
        <v>67</v>
      </c>
      <c r="D45" s="15">
        <v>100000</v>
      </c>
      <c r="E45" s="15">
        <f t="shared" ref="E45:E50" si="1">-D45</f>
        <v>-100000</v>
      </c>
    </row>
    <row r="46" spans="1:5" hidden="1" outlineLevel="1" x14ac:dyDescent="0.3">
      <c r="C46" s="14" t="s">
        <v>68</v>
      </c>
      <c r="D46" s="15">
        <v>100000</v>
      </c>
      <c r="E46" s="15">
        <f t="shared" si="1"/>
        <v>-100000</v>
      </c>
    </row>
    <row r="47" spans="1:5" hidden="1" outlineLevel="1" x14ac:dyDescent="0.3">
      <c r="C47" s="14" t="s">
        <v>69</v>
      </c>
      <c r="D47" s="15">
        <v>100000</v>
      </c>
      <c r="E47" s="15">
        <f t="shared" si="1"/>
        <v>-100000</v>
      </c>
    </row>
    <row r="48" spans="1:5" hidden="1" outlineLevel="1" x14ac:dyDescent="0.3">
      <c r="C48" s="14" t="s">
        <v>70</v>
      </c>
      <c r="D48" s="15">
        <v>100000</v>
      </c>
      <c r="E48" s="15">
        <f t="shared" si="1"/>
        <v>-100000</v>
      </c>
    </row>
    <row r="49" spans="2:7" hidden="1" outlineLevel="1" x14ac:dyDescent="0.3">
      <c r="C49" s="14" t="s">
        <v>71</v>
      </c>
      <c r="D49" s="15">
        <v>100000</v>
      </c>
      <c r="E49" s="15">
        <f t="shared" si="1"/>
        <v>-100000</v>
      </c>
    </row>
    <row r="50" spans="2:7" x14ac:dyDescent="0.3">
      <c r="B50" s="33" t="s">
        <v>192</v>
      </c>
      <c r="C50" s="1" t="s">
        <v>72</v>
      </c>
      <c r="D50" s="3">
        <v>40000</v>
      </c>
      <c r="E50" s="3">
        <f t="shared" si="1"/>
        <v>-40000</v>
      </c>
    </row>
    <row r="51" spans="2:7" collapsed="1" x14ac:dyDescent="0.3">
      <c r="B51" s="33" t="s">
        <v>192</v>
      </c>
      <c r="C51" s="1" t="s">
        <v>73</v>
      </c>
      <c r="D51" s="3"/>
      <c r="E51" s="3">
        <f>SUM(E52:E55)</f>
        <v>-500000</v>
      </c>
    </row>
    <row r="52" spans="2:7" hidden="1" outlineLevel="1" x14ac:dyDescent="0.3">
      <c r="C52" s="14" t="s">
        <v>76</v>
      </c>
      <c r="D52" s="15">
        <v>300000</v>
      </c>
      <c r="E52" s="15">
        <f>-D52</f>
        <v>-300000</v>
      </c>
    </row>
    <row r="53" spans="2:7" hidden="1" outlineLevel="1" x14ac:dyDescent="0.3">
      <c r="C53" s="14" t="s">
        <v>77</v>
      </c>
      <c r="D53" s="15">
        <v>150000</v>
      </c>
      <c r="E53" s="15">
        <f>-D53</f>
        <v>-150000</v>
      </c>
    </row>
    <row r="54" spans="2:7" hidden="1" outlineLevel="1" x14ac:dyDescent="0.3">
      <c r="C54" s="14" t="s">
        <v>5</v>
      </c>
      <c r="D54" s="15">
        <v>50000</v>
      </c>
      <c r="E54" s="15">
        <f>-D54</f>
        <v>-50000</v>
      </c>
    </row>
    <row r="55" spans="2:7" hidden="1" outlineLevel="1" x14ac:dyDescent="0.3">
      <c r="C55" s="14" t="s">
        <v>78</v>
      </c>
      <c r="D55" s="15">
        <v>0</v>
      </c>
      <c r="E55" s="15">
        <f>-D55</f>
        <v>0</v>
      </c>
    </row>
    <row r="56" spans="2:7" collapsed="1" x14ac:dyDescent="0.3">
      <c r="B56" s="33" t="s">
        <v>192</v>
      </c>
      <c r="C56" s="1" t="s">
        <v>74</v>
      </c>
      <c r="D56" s="3"/>
      <c r="E56" s="3">
        <f>SUM(E57:E60)</f>
        <v>-175000</v>
      </c>
    </row>
    <row r="57" spans="2:7" hidden="1" outlineLevel="1" x14ac:dyDescent="0.3">
      <c r="C57" s="14" t="s">
        <v>79</v>
      </c>
      <c r="D57" s="15">
        <v>100000</v>
      </c>
      <c r="E57" s="15">
        <f>-D57</f>
        <v>-100000</v>
      </c>
    </row>
    <row r="58" spans="2:7" hidden="1" outlineLevel="1" x14ac:dyDescent="0.3">
      <c r="C58" s="14" t="s">
        <v>80</v>
      </c>
      <c r="D58" s="15">
        <v>45000</v>
      </c>
      <c r="E58" s="15">
        <f>-D58</f>
        <v>-45000</v>
      </c>
    </row>
    <row r="59" spans="2:7" hidden="1" outlineLevel="1" x14ac:dyDescent="0.3">
      <c r="C59" s="14" t="s">
        <v>81</v>
      </c>
      <c r="D59" s="15">
        <v>30000</v>
      </c>
      <c r="E59" s="15">
        <f>-D59</f>
        <v>-30000</v>
      </c>
    </row>
    <row r="60" spans="2:7" hidden="1" outlineLevel="1" x14ac:dyDescent="0.3">
      <c r="C60" s="14" t="s">
        <v>78</v>
      </c>
      <c r="D60" s="15">
        <v>0</v>
      </c>
      <c r="E60" s="15">
        <f>-D60</f>
        <v>0</v>
      </c>
    </row>
    <row r="61" spans="2:7" x14ac:dyDescent="0.3">
      <c r="B61" s="33" t="s">
        <v>192</v>
      </c>
      <c r="C61" s="1" t="s">
        <v>75</v>
      </c>
      <c r="D61" s="18" t="s">
        <v>82</v>
      </c>
      <c r="E61" s="3">
        <f>(E44+E27+E11)/2*10%+(E44+E27+E11)/2*50%</f>
        <v>-381000</v>
      </c>
    </row>
    <row r="62" spans="2:7" x14ac:dyDescent="0.3">
      <c r="B62" s="33" t="s">
        <v>192</v>
      </c>
      <c r="C62" s="1" t="s">
        <v>53</v>
      </c>
      <c r="D62" s="3">
        <v>0</v>
      </c>
      <c r="E62" s="3">
        <f>-D62</f>
        <v>0</v>
      </c>
      <c r="G62" t="s">
        <v>198</v>
      </c>
    </row>
    <row r="63" spans="2:7" x14ac:dyDescent="0.3">
      <c r="C63" s="1"/>
      <c r="D63" s="3"/>
      <c r="E63" s="3"/>
    </row>
    <row r="64" spans="2:7" x14ac:dyDescent="0.3">
      <c r="C64" s="19" t="s">
        <v>83</v>
      </c>
      <c r="D64" s="20"/>
      <c r="E64" s="21">
        <f>E7+E24</f>
        <v>3700000</v>
      </c>
    </row>
    <row r="65" spans="2:35" x14ac:dyDescent="0.3">
      <c r="C65" s="1" t="s">
        <v>84</v>
      </c>
      <c r="E65" s="7">
        <f>E64/E2</f>
        <v>0.46250000000000002</v>
      </c>
    </row>
    <row r="67" spans="2:35" x14ac:dyDescent="0.3">
      <c r="C67" s="2" t="s">
        <v>111</v>
      </c>
      <c r="E67" s="4">
        <f>SUMIFS(E68:E96,B68:B96,"s")</f>
        <v>-1212707.6433333333</v>
      </c>
    </row>
    <row r="68" spans="2:35" x14ac:dyDescent="0.3">
      <c r="B68" s="33" t="s">
        <v>192</v>
      </c>
      <c r="C68" s="1" t="s">
        <v>193</v>
      </c>
      <c r="D68" s="31">
        <v>45000</v>
      </c>
      <c r="E68" s="3">
        <f>-$D68</f>
        <v>-45000</v>
      </c>
      <c r="F68" s="3">
        <f t="shared" ref="F68:N70" si="2">-$D68</f>
        <v>-45000</v>
      </c>
      <c r="G68" s="3">
        <f t="shared" si="2"/>
        <v>-45000</v>
      </c>
      <c r="H68" s="3">
        <f t="shared" si="2"/>
        <v>-45000</v>
      </c>
      <c r="I68" s="3">
        <f t="shared" si="2"/>
        <v>-45000</v>
      </c>
      <c r="J68" s="3">
        <f t="shared" si="2"/>
        <v>-45000</v>
      </c>
      <c r="K68" s="3">
        <f t="shared" si="2"/>
        <v>-45000</v>
      </c>
      <c r="L68" s="3">
        <f t="shared" si="2"/>
        <v>-45000</v>
      </c>
      <c r="M68" s="3">
        <f t="shared" si="2"/>
        <v>-45000</v>
      </c>
      <c r="N68" s="3">
        <f t="shared" si="2"/>
        <v>-45000</v>
      </c>
    </row>
    <row r="69" spans="2:35" x14ac:dyDescent="0.3">
      <c r="B69" s="33" t="s">
        <v>192</v>
      </c>
      <c r="C69" s="1" t="s">
        <v>194</v>
      </c>
      <c r="D69" s="31">
        <v>0</v>
      </c>
      <c r="E69" s="3">
        <f>-$D69</f>
        <v>0</v>
      </c>
      <c r="F69" s="3">
        <f t="shared" si="2"/>
        <v>0</v>
      </c>
      <c r="G69" s="3">
        <f t="shared" si="2"/>
        <v>0</v>
      </c>
      <c r="H69" s="3">
        <f t="shared" si="2"/>
        <v>0</v>
      </c>
      <c r="I69" s="3">
        <f t="shared" si="2"/>
        <v>0</v>
      </c>
      <c r="J69" s="3">
        <f t="shared" si="2"/>
        <v>0</v>
      </c>
      <c r="K69" s="3">
        <f t="shared" si="2"/>
        <v>0</v>
      </c>
      <c r="L69" s="3">
        <f t="shared" si="2"/>
        <v>0</v>
      </c>
      <c r="M69" s="3">
        <f t="shared" si="2"/>
        <v>0</v>
      </c>
      <c r="N69" s="3">
        <f t="shared" si="2"/>
        <v>0</v>
      </c>
    </row>
    <row r="70" spans="2:35" x14ac:dyDescent="0.3">
      <c r="B70" s="33" t="s">
        <v>192</v>
      </c>
      <c r="C70" s="1" t="s">
        <v>85</v>
      </c>
      <c r="D70" s="31">
        <v>200000</v>
      </c>
      <c r="E70" s="3">
        <f t="shared" ref="E70:N78" si="3">-$D70</f>
        <v>-200000</v>
      </c>
      <c r="F70" s="3">
        <f t="shared" si="2"/>
        <v>-200000</v>
      </c>
      <c r="G70" s="3">
        <f t="shared" si="2"/>
        <v>-200000</v>
      </c>
      <c r="H70" s="3">
        <f t="shared" si="2"/>
        <v>-200000</v>
      </c>
      <c r="I70" s="3">
        <f t="shared" si="2"/>
        <v>-200000</v>
      </c>
      <c r="J70" s="3">
        <f t="shared" si="2"/>
        <v>-200000</v>
      </c>
      <c r="K70" s="3">
        <f t="shared" si="2"/>
        <v>-200000</v>
      </c>
      <c r="L70" s="3">
        <f t="shared" si="2"/>
        <v>-200000</v>
      </c>
      <c r="M70" s="3">
        <f t="shared" si="2"/>
        <v>-200000</v>
      </c>
      <c r="N70" s="3">
        <f t="shared" si="2"/>
        <v>-200000</v>
      </c>
    </row>
    <row r="71" spans="2:35" collapsed="1" x14ac:dyDescent="0.3">
      <c r="B71" s="33" t="s">
        <v>192</v>
      </c>
      <c r="C71" s="1" t="s">
        <v>93</v>
      </c>
      <c r="D71" s="3">
        <f t="shared" ref="D71" si="4">SUM(D72:D78)</f>
        <v>210000</v>
      </c>
      <c r="E71" s="3">
        <f>SUM(E72:E78)</f>
        <v>-210000</v>
      </c>
      <c r="F71" s="3">
        <f t="shared" ref="F71:N71" si="5">SUM(F72:F78)</f>
        <v>-210000</v>
      </c>
      <c r="G71" s="3">
        <f t="shared" si="5"/>
        <v>-210000</v>
      </c>
      <c r="H71" s="3">
        <f t="shared" si="5"/>
        <v>-210000</v>
      </c>
      <c r="I71" s="3">
        <f t="shared" si="5"/>
        <v>-210000</v>
      </c>
      <c r="J71" s="3">
        <f t="shared" si="5"/>
        <v>-210000</v>
      </c>
      <c r="K71" s="3">
        <f t="shared" si="5"/>
        <v>-210000</v>
      </c>
      <c r="L71" s="3">
        <f t="shared" si="5"/>
        <v>-210000</v>
      </c>
      <c r="M71" s="3">
        <f t="shared" si="5"/>
        <v>-210000</v>
      </c>
      <c r="N71" s="3">
        <f t="shared" si="5"/>
        <v>-210000</v>
      </c>
    </row>
    <row r="72" spans="2:35" hidden="1" outlineLevel="1" x14ac:dyDescent="0.3">
      <c r="C72" s="14" t="s">
        <v>86</v>
      </c>
      <c r="D72" s="31">
        <v>30000</v>
      </c>
      <c r="E72" s="3">
        <f t="shared" si="3"/>
        <v>-30000</v>
      </c>
      <c r="F72" s="3">
        <f t="shared" si="3"/>
        <v>-30000</v>
      </c>
      <c r="G72" s="3">
        <f t="shared" si="3"/>
        <v>-30000</v>
      </c>
      <c r="H72" s="3">
        <f t="shared" si="3"/>
        <v>-30000</v>
      </c>
      <c r="I72" s="3">
        <f t="shared" si="3"/>
        <v>-30000</v>
      </c>
      <c r="J72" s="3">
        <f t="shared" si="3"/>
        <v>-30000</v>
      </c>
      <c r="K72" s="3">
        <f t="shared" si="3"/>
        <v>-30000</v>
      </c>
      <c r="L72" s="3">
        <f t="shared" si="3"/>
        <v>-30000</v>
      </c>
      <c r="M72" s="3">
        <f t="shared" si="3"/>
        <v>-30000</v>
      </c>
      <c r="N72" s="3">
        <f t="shared" si="3"/>
        <v>-30000</v>
      </c>
    </row>
    <row r="73" spans="2:35" hidden="1" outlineLevel="1" x14ac:dyDescent="0.3">
      <c r="C73" s="14" t="s">
        <v>87</v>
      </c>
      <c r="D73" s="31">
        <v>30000</v>
      </c>
      <c r="E73" s="3">
        <f t="shared" si="3"/>
        <v>-30000</v>
      </c>
      <c r="F73" s="3">
        <f t="shared" si="3"/>
        <v>-30000</v>
      </c>
      <c r="G73" s="3">
        <f t="shared" si="3"/>
        <v>-30000</v>
      </c>
      <c r="H73" s="3">
        <f t="shared" si="3"/>
        <v>-30000</v>
      </c>
      <c r="I73" s="3">
        <f t="shared" si="3"/>
        <v>-30000</v>
      </c>
      <c r="J73" s="3">
        <f t="shared" si="3"/>
        <v>-30000</v>
      </c>
      <c r="K73" s="3">
        <f t="shared" si="3"/>
        <v>-30000</v>
      </c>
      <c r="L73" s="3">
        <f t="shared" si="3"/>
        <v>-30000</v>
      </c>
      <c r="M73" s="3">
        <f t="shared" si="3"/>
        <v>-30000</v>
      </c>
      <c r="N73" s="3">
        <f t="shared" si="3"/>
        <v>-30000</v>
      </c>
    </row>
    <row r="74" spans="2:35" hidden="1" outlineLevel="1" x14ac:dyDescent="0.3">
      <c r="C74" s="14" t="s">
        <v>88</v>
      </c>
      <c r="D74" s="31">
        <v>30000</v>
      </c>
      <c r="E74" s="3">
        <f t="shared" si="3"/>
        <v>-30000</v>
      </c>
      <c r="F74" s="3">
        <f t="shared" si="3"/>
        <v>-30000</v>
      </c>
      <c r="G74" s="3">
        <f t="shared" si="3"/>
        <v>-30000</v>
      </c>
      <c r="H74" s="3">
        <f t="shared" si="3"/>
        <v>-30000</v>
      </c>
      <c r="I74" s="3">
        <f t="shared" si="3"/>
        <v>-30000</v>
      </c>
      <c r="J74" s="3">
        <f t="shared" si="3"/>
        <v>-30000</v>
      </c>
      <c r="K74" s="3">
        <f t="shared" si="3"/>
        <v>-30000</v>
      </c>
      <c r="L74" s="3">
        <f t="shared" si="3"/>
        <v>-30000</v>
      </c>
      <c r="M74" s="3">
        <f t="shared" si="3"/>
        <v>-30000</v>
      </c>
      <c r="N74" s="3">
        <f t="shared" si="3"/>
        <v>-30000</v>
      </c>
    </row>
    <row r="75" spans="2:35" hidden="1" outlineLevel="1" x14ac:dyDescent="0.3">
      <c r="C75" s="14" t="s">
        <v>89</v>
      </c>
      <c r="D75" s="31">
        <v>30000</v>
      </c>
      <c r="E75" s="3">
        <f t="shared" si="3"/>
        <v>-30000</v>
      </c>
      <c r="F75" s="3">
        <f t="shared" si="3"/>
        <v>-30000</v>
      </c>
      <c r="G75" s="3">
        <f t="shared" si="3"/>
        <v>-30000</v>
      </c>
      <c r="H75" s="3">
        <f t="shared" si="3"/>
        <v>-30000</v>
      </c>
      <c r="I75" s="3">
        <f t="shared" si="3"/>
        <v>-30000</v>
      </c>
      <c r="J75" s="3">
        <f t="shared" si="3"/>
        <v>-30000</v>
      </c>
      <c r="K75" s="3">
        <f t="shared" si="3"/>
        <v>-30000</v>
      </c>
      <c r="L75" s="3">
        <f t="shared" si="3"/>
        <v>-30000</v>
      </c>
      <c r="M75" s="3">
        <f t="shared" si="3"/>
        <v>-30000</v>
      </c>
      <c r="N75" s="3">
        <f t="shared" si="3"/>
        <v>-30000</v>
      </c>
    </row>
    <row r="76" spans="2:35" hidden="1" outlineLevel="1" x14ac:dyDescent="0.3">
      <c r="C76" s="14" t="s">
        <v>90</v>
      </c>
      <c r="D76" s="31">
        <v>30000</v>
      </c>
      <c r="E76" s="3">
        <f t="shared" si="3"/>
        <v>-30000</v>
      </c>
      <c r="F76" s="3">
        <f t="shared" si="3"/>
        <v>-30000</v>
      </c>
      <c r="G76" s="3">
        <f t="shared" si="3"/>
        <v>-30000</v>
      </c>
      <c r="H76" s="3">
        <f t="shared" si="3"/>
        <v>-30000</v>
      </c>
      <c r="I76" s="3">
        <f t="shared" si="3"/>
        <v>-30000</v>
      </c>
      <c r="J76" s="3">
        <f t="shared" si="3"/>
        <v>-30000</v>
      </c>
      <c r="K76" s="3">
        <f t="shared" si="3"/>
        <v>-30000</v>
      </c>
      <c r="L76" s="3">
        <f t="shared" si="3"/>
        <v>-30000</v>
      </c>
      <c r="M76" s="3">
        <f t="shared" si="3"/>
        <v>-30000</v>
      </c>
      <c r="N76" s="3">
        <f t="shared" si="3"/>
        <v>-30000</v>
      </c>
    </row>
    <row r="77" spans="2:35" hidden="1" outlineLevel="1" x14ac:dyDescent="0.3">
      <c r="C77" s="14" t="s">
        <v>91</v>
      </c>
      <c r="D77" s="31">
        <v>30000</v>
      </c>
      <c r="E77" s="3">
        <f t="shared" si="3"/>
        <v>-30000</v>
      </c>
      <c r="F77" s="3">
        <f t="shared" si="3"/>
        <v>-30000</v>
      </c>
      <c r="G77" s="3">
        <f t="shared" si="3"/>
        <v>-30000</v>
      </c>
      <c r="H77" s="3">
        <f t="shared" si="3"/>
        <v>-30000</v>
      </c>
      <c r="I77" s="3">
        <f t="shared" si="3"/>
        <v>-30000</v>
      </c>
      <c r="J77" s="3">
        <f t="shared" si="3"/>
        <v>-30000</v>
      </c>
      <c r="K77" s="3">
        <f t="shared" si="3"/>
        <v>-30000</v>
      </c>
      <c r="L77" s="3">
        <f t="shared" si="3"/>
        <v>-30000</v>
      </c>
      <c r="M77" s="3">
        <f t="shared" si="3"/>
        <v>-30000</v>
      </c>
      <c r="N77" s="3">
        <f t="shared" si="3"/>
        <v>-30000</v>
      </c>
    </row>
    <row r="78" spans="2:35" hidden="1" outlineLevel="1" x14ac:dyDescent="0.3">
      <c r="C78" s="14" t="s">
        <v>92</v>
      </c>
      <c r="D78" s="31">
        <v>30000</v>
      </c>
      <c r="E78" s="3">
        <f t="shared" si="3"/>
        <v>-30000</v>
      </c>
      <c r="F78" s="3">
        <f t="shared" si="3"/>
        <v>-30000</v>
      </c>
      <c r="G78" s="3">
        <f t="shared" si="3"/>
        <v>-30000</v>
      </c>
      <c r="H78" s="3">
        <f t="shared" si="3"/>
        <v>-30000</v>
      </c>
      <c r="I78" s="3">
        <f t="shared" si="3"/>
        <v>-30000</v>
      </c>
      <c r="J78" s="3">
        <f t="shared" si="3"/>
        <v>-30000</v>
      </c>
      <c r="K78" s="3">
        <f t="shared" si="3"/>
        <v>-30000</v>
      </c>
      <c r="L78" s="3">
        <f t="shared" si="3"/>
        <v>-30000</v>
      </c>
      <c r="M78" s="3">
        <f t="shared" si="3"/>
        <v>-30000</v>
      </c>
      <c r="N78" s="3">
        <f t="shared" si="3"/>
        <v>-30000</v>
      </c>
    </row>
    <row r="79" spans="2:35" collapsed="1" x14ac:dyDescent="0.3">
      <c r="B79" s="33" t="s">
        <v>192</v>
      </c>
      <c r="C79" s="1" t="s">
        <v>94</v>
      </c>
      <c r="D79" s="3"/>
      <c r="E79" s="3">
        <f>SUM(E80:E87)</f>
        <v>-399374.31</v>
      </c>
      <c r="F79" s="3">
        <f t="shared" ref="F79:AI79" si="6">SUM(F80:F87)</f>
        <v>-421028.64</v>
      </c>
      <c r="G79" s="3">
        <f t="shared" si="6"/>
        <v>392770.29</v>
      </c>
      <c r="H79" s="3">
        <f t="shared" si="6"/>
        <v>387762.37</v>
      </c>
      <c r="I79" s="3">
        <f t="shared" si="6"/>
        <v>361011.83</v>
      </c>
      <c r="J79" s="3">
        <f t="shared" si="6"/>
        <v>354917.78</v>
      </c>
      <c r="K79" s="3">
        <f t="shared" si="6"/>
        <v>338308.13000000006</v>
      </c>
      <c r="L79" s="3">
        <f t="shared" si="6"/>
        <v>312611.90000000002</v>
      </c>
      <c r="M79" s="3">
        <f t="shared" si="6"/>
        <v>304987.01</v>
      </c>
      <c r="N79" s="3">
        <f t="shared" si="6"/>
        <v>280580.37</v>
      </c>
      <c r="O79" s="3">
        <f t="shared" si="6"/>
        <v>271228.90999999997</v>
      </c>
      <c r="P79" s="3">
        <f t="shared" si="6"/>
        <v>254249.52</v>
      </c>
      <c r="Q79" s="3">
        <f t="shared" si="6"/>
        <v>218720.23</v>
      </c>
      <c r="R79" s="3">
        <f t="shared" si="6"/>
        <v>220175.30000000002</v>
      </c>
      <c r="S79" s="3">
        <f t="shared" si="6"/>
        <v>197665.81</v>
      </c>
      <c r="T79" s="3">
        <f t="shared" si="6"/>
        <v>185781.82</v>
      </c>
      <c r="U79" s="3">
        <f t="shared" si="6"/>
        <v>159133.78</v>
      </c>
      <c r="V79" s="3">
        <f t="shared" si="6"/>
        <v>150000.65</v>
      </c>
      <c r="W79" s="3">
        <f t="shared" si="6"/>
        <v>136911.81</v>
      </c>
      <c r="X79" s="3">
        <f t="shared" si="6"/>
        <v>120508.31</v>
      </c>
      <c r="Y79" s="3">
        <f t="shared" si="6"/>
        <v>109897.59</v>
      </c>
      <c r="Z79" s="3">
        <f t="shared" si="6"/>
        <v>94188.78</v>
      </c>
      <c r="AA79" s="3">
        <f t="shared" si="6"/>
        <v>70776.600000000006</v>
      </c>
      <c r="AB79" s="3">
        <f t="shared" si="6"/>
        <v>61504.709999999992</v>
      </c>
      <c r="AC79" s="3">
        <f t="shared" si="6"/>
        <v>50447.869999999995</v>
      </c>
      <c r="AD79" s="3">
        <f t="shared" si="6"/>
        <v>34017.1</v>
      </c>
      <c r="AE79" s="3">
        <f t="shared" si="6"/>
        <v>29316.97</v>
      </c>
      <c r="AF79" s="3">
        <f t="shared" si="6"/>
        <v>25895.42</v>
      </c>
      <c r="AG79" s="3">
        <f t="shared" si="6"/>
        <v>21532.18</v>
      </c>
      <c r="AH79" s="3">
        <f t="shared" si="6"/>
        <v>17376.29</v>
      </c>
      <c r="AI79" s="3">
        <f t="shared" si="6"/>
        <v>12662.55</v>
      </c>
    </row>
    <row r="80" spans="2:35" hidden="1" outlineLevel="1" x14ac:dyDescent="0.3">
      <c r="C80" s="14" t="s">
        <v>107</v>
      </c>
      <c r="E80" s="3">
        <v>-60442.64</v>
      </c>
      <c r="F80" s="3">
        <v>-62137.98</v>
      </c>
      <c r="G80" s="3">
        <v>57051.96</v>
      </c>
      <c r="H80" s="3">
        <v>54630.04</v>
      </c>
      <c r="I80" s="3">
        <v>49544.02</v>
      </c>
      <c r="J80" s="3">
        <v>47364.29</v>
      </c>
      <c r="K80" s="3">
        <v>43368.12</v>
      </c>
      <c r="L80" s="3">
        <v>38645.39</v>
      </c>
      <c r="M80" s="3">
        <v>35981.269999999997</v>
      </c>
      <c r="N80" s="3">
        <v>31379.63</v>
      </c>
      <c r="O80" s="3">
        <v>28352.23</v>
      </c>
      <c r="P80" s="3">
        <v>24598.26</v>
      </c>
      <c r="Q80" s="3">
        <v>19754.419999999998</v>
      </c>
      <c r="R80" s="3">
        <v>17090.32</v>
      </c>
      <c r="S80" s="3">
        <v>13336.34</v>
      </c>
      <c r="T80" s="3">
        <v>9703.48</v>
      </c>
      <c r="U80" s="3"/>
      <c r="V80" s="3"/>
      <c r="W80" s="3"/>
      <c r="X80" s="3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</row>
    <row r="81" spans="2:35" hidden="1" outlineLevel="1" x14ac:dyDescent="0.3">
      <c r="C81" s="14" t="s">
        <v>108</v>
      </c>
      <c r="E81" s="3">
        <v>-98966.720000000001</v>
      </c>
      <c r="F81" s="3">
        <v>-106287.02</v>
      </c>
      <c r="G81" s="3">
        <v>100997.28</v>
      </c>
      <c r="H81" s="3">
        <v>101825.05</v>
      </c>
      <c r="I81" s="3">
        <v>96498.17</v>
      </c>
      <c r="J81" s="3">
        <v>96987.92</v>
      </c>
      <c r="K81" s="3">
        <v>94552.55</v>
      </c>
      <c r="L81" s="3">
        <v>89356.82</v>
      </c>
      <c r="M81" s="3">
        <v>89599.07</v>
      </c>
      <c r="N81" s="3">
        <v>84279.03</v>
      </c>
      <c r="O81" s="3">
        <v>84055.33</v>
      </c>
      <c r="P81" s="3">
        <v>81384.95</v>
      </c>
      <c r="Q81" s="3">
        <v>71686.44</v>
      </c>
      <c r="R81" s="3">
        <v>75400.350000000006</v>
      </c>
      <c r="S81" s="3">
        <v>70550.080000000002</v>
      </c>
      <c r="T81" s="3">
        <v>69326.350000000006</v>
      </c>
      <c r="U81" s="3">
        <v>64332.73</v>
      </c>
      <c r="V81" s="3">
        <v>63154.3</v>
      </c>
      <c r="W81" s="3">
        <v>59661.34</v>
      </c>
      <c r="X81" s="3">
        <v>54745.14</v>
      </c>
      <c r="Y81" s="22">
        <v>52909.71</v>
      </c>
      <c r="Z81" s="23">
        <v>47938.54</v>
      </c>
      <c r="AA81" s="22">
        <v>45514.27</v>
      </c>
      <c r="AB81" s="23">
        <v>41776.449999999997</v>
      </c>
      <c r="AC81" s="22">
        <v>36059.06</v>
      </c>
      <c r="AD81" s="23">
        <v>34017.1</v>
      </c>
      <c r="AE81" s="22">
        <v>29316.97</v>
      </c>
      <c r="AF81" s="23">
        <v>25895.42</v>
      </c>
      <c r="AG81" s="22">
        <v>21532.18</v>
      </c>
      <c r="AH81" s="23">
        <v>17376.29</v>
      </c>
      <c r="AI81" s="22">
        <v>12662.55</v>
      </c>
    </row>
    <row r="82" spans="2:35" hidden="1" outlineLevel="1" x14ac:dyDescent="0.3">
      <c r="C82" s="14" t="s">
        <v>106</v>
      </c>
      <c r="E82" s="3">
        <v>-134500.38</v>
      </c>
      <c r="F82" s="3">
        <v>-141817.70000000001</v>
      </c>
      <c r="G82" s="3">
        <v>132001.78</v>
      </c>
      <c r="H82" s="3">
        <v>130395.54</v>
      </c>
      <c r="I82" s="3">
        <v>121471.99</v>
      </c>
      <c r="J82" s="3">
        <v>119330.33</v>
      </c>
      <c r="K82" s="3">
        <v>113797.72</v>
      </c>
      <c r="L82" s="3">
        <v>105231.1</v>
      </c>
      <c r="M82" s="3">
        <v>102732.5</v>
      </c>
      <c r="N82" s="3">
        <v>94879.77</v>
      </c>
      <c r="O82" s="3">
        <v>91667.29</v>
      </c>
      <c r="P82" s="3">
        <v>86134.68</v>
      </c>
      <c r="Q82" s="3">
        <v>74355.58</v>
      </c>
      <c r="R82" s="3">
        <v>75247.929999999993</v>
      </c>
      <c r="S82" s="3">
        <v>67752.14</v>
      </c>
      <c r="T82" s="3">
        <v>64004.25</v>
      </c>
      <c r="U82" s="3">
        <v>57043.87</v>
      </c>
      <c r="V82" s="3">
        <v>52939.03</v>
      </c>
      <c r="W82" s="3">
        <v>47763.37</v>
      </c>
      <c r="X82" s="3">
        <v>40981.46</v>
      </c>
      <c r="Y82" s="22">
        <v>36341.199999999997</v>
      </c>
      <c r="Z82" s="23">
        <v>30451.65</v>
      </c>
      <c r="AA82" s="22">
        <v>25262.33</v>
      </c>
      <c r="AB82" s="23">
        <v>19728.259999999998</v>
      </c>
      <c r="AC82" s="22">
        <v>14388.81</v>
      </c>
      <c r="AD82" s="18"/>
      <c r="AE82" s="18"/>
      <c r="AF82" s="18"/>
      <c r="AG82" s="18"/>
      <c r="AH82" s="18"/>
      <c r="AI82" s="18"/>
    </row>
    <row r="83" spans="2:35" hidden="1" outlineLevel="1" x14ac:dyDescent="0.3">
      <c r="C83" s="14" t="s">
        <v>109</v>
      </c>
      <c r="E83" s="3">
        <v>-99640.16</v>
      </c>
      <c r="F83" s="3">
        <v>-104630.72</v>
      </c>
      <c r="G83" s="3">
        <v>97501.35</v>
      </c>
      <c r="H83" s="3">
        <v>95790.3</v>
      </c>
      <c r="I83" s="3">
        <v>88803.51</v>
      </c>
      <c r="J83" s="3">
        <v>87092.46</v>
      </c>
      <c r="K83" s="3">
        <v>82529.66</v>
      </c>
      <c r="L83" s="3">
        <v>76255.81</v>
      </c>
      <c r="M83" s="3">
        <v>73689.23</v>
      </c>
      <c r="N83" s="3">
        <v>67415.38</v>
      </c>
      <c r="O83" s="3">
        <v>65133.99</v>
      </c>
      <c r="P83" s="3">
        <v>60428.59</v>
      </c>
      <c r="Q83" s="3">
        <v>51730.75</v>
      </c>
      <c r="R83" s="3">
        <v>51588.17</v>
      </c>
      <c r="S83" s="3">
        <v>46027.25</v>
      </c>
      <c r="T83" s="3">
        <v>42747.74</v>
      </c>
      <c r="U83" s="3">
        <v>37757.18</v>
      </c>
      <c r="V83" s="3">
        <v>33907.32</v>
      </c>
      <c r="W83" s="3">
        <v>29487.1</v>
      </c>
      <c r="X83" s="3">
        <v>24781.71</v>
      </c>
      <c r="Y83" s="22">
        <v>20646.68</v>
      </c>
      <c r="Z83" s="23">
        <v>15798.59</v>
      </c>
      <c r="AA83" s="18"/>
      <c r="AB83" s="18"/>
      <c r="AC83" s="18"/>
      <c r="AD83" s="18"/>
      <c r="AE83" s="18"/>
      <c r="AF83" s="18"/>
      <c r="AG83" s="18"/>
      <c r="AH83" s="18"/>
      <c r="AI83" s="18"/>
    </row>
    <row r="84" spans="2:35" hidden="1" outlineLevel="1" x14ac:dyDescent="0.3">
      <c r="C84" s="14" t="s">
        <v>110</v>
      </c>
      <c r="E84" s="3">
        <v>-5824.41</v>
      </c>
      <c r="F84" s="3">
        <v>-6155.22</v>
      </c>
      <c r="G84" s="3">
        <v>5217.92</v>
      </c>
      <c r="H84" s="3">
        <v>5121.4399999999996</v>
      </c>
      <c r="I84" s="3">
        <v>4694.1400000000003</v>
      </c>
      <c r="J84" s="3">
        <v>4142.78</v>
      </c>
      <c r="K84" s="3">
        <v>4060.08</v>
      </c>
      <c r="L84" s="3">
        <v>3122.78</v>
      </c>
      <c r="M84" s="3">
        <v>2984.94</v>
      </c>
      <c r="N84" s="3">
        <v>2626.56</v>
      </c>
      <c r="O84" s="3">
        <v>2020.07</v>
      </c>
      <c r="P84" s="3">
        <v>1703.04</v>
      </c>
      <c r="Q84" s="3">
        <v>1193.04</v>
      </c>
      <c r="R84" s="3">
        <v>848.53</v>
      </c>
      <c r="S84" s="3"/>
      <c r="T84" s="3"/>
      <c r="U84" s="3"/>
      <c r="V84" s="3"/>
      <c r="W84" s="3"/>
      <c r="X84" s="3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</row>
    <row r="85" spans="2:35" hidden="1" outlineLevel="1" x14ac:dyDescent="0.3">
      <c r="C85" s="14" t="s">
        <v>104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2:35" hidden="1" outlineLevel="1" x14ac:dyDescent="0.3">
      <c r="C86" s="14" t="s">
        <v>105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2:35" hidden="1" outlineLevel="1" x14ac:dyDescent="0.3">
      <c r="C87" s="14" t="s">
        <v>103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2:35" collapsed="1" x14ac:dyDescent="0.3">
      <c r="B88" s="33" t="s">
        <v>192</v>
      </c>
      <c r="C88" s="1" t="s">
        <v>95</v>
      </c>
      <c r="E88" s="3">
        <f>SUM(E89:E95)</f>
        <v>-358333.33333333331</v>
      </c>
      <c r="F88" s="3">
        <f t="shared" ref="F88:N88" si="7">SUM(F89:F95)</f>
        <v>-358333.33333333331</v>
      </c>
      <c r="G88" s="3">
        <f t="shared" si="7"/>
        <v>-358333.33333333331</v>
      </c>
      <c r="H88" s="3">
        <f t="shared" si="7"/>
        <v>-358333.33333333331</v>
      </c>
      <c r="I88" s="3">
        <f t="shared" si="7"/>
        <v>-358333.33333333331</v>
      </c>
      <c r="J88" s="3">
        <f t="shared" si="7"/>
        <v>-358333.33333333331</v>
      </c>
      <c r="K88" s="3">
        <f t="shared" si="7"/>
        <v>-358333.33333333331</v>
      </c>
      <c r="L88" s="3">
        <f t="shared" si="7"/>
        <v>-358333.33333333331</v>
      </c>
      <c r="M88" s="3">
        <f t="shared" si="7"/>
        <v>-358333.33333333331</v>
      </c>
      <c r="N88" s="3">
        <f t="shared" si="7"/>
        <v>-358333.33333333331</v>
      </c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2:35" hidden="1" outlineLevel="1" x14ac:dyDescent="0.3">
      <c r="C89" s="14" t="s">
        <v>96</v>
      </c>
      <c r="D89" s="3">
        <f>1500000/60</f>
        <v>25000</v>
      </c>
      <c r="E89" s="3">
        <f>-$D89</f>
        <v>-25000</v>
      </c>
      <c r="F89" s="3">
        <f t="shared" ref="F89:N89" si="8">-$D89</f>
        <v>-25000</v>
      </c>
      <c r="G89" s="3">
        <f t="shared" si="8"/>
        <v>-25000</v>
      </c>
      <c r="H89" s="3">
        <f t="shared" si="8"/>
        <v>-25000</v>
      </c>
      <c r="I89" s="3">
        <f t="shared" si="8"/>
        <v>-25000</v>
      </c>
      <c r="J89" s="3">
        <f t="shared" si="8"/>
        <v>-25000</v>
      </c>
      <c r="K89" s="3">
        <f t="shared" si="8"/>
        <v>-25000</v>
      </c>
      <c r="L89" s="3">
        <f t="shared" si="8"/>
        <v>-25000</v>
      </c>
      <c r="M89" s="3">
        <f t="shared" si="8"/>
        <v>-25000</v>
      </c>
      <c r="N89" s="3">
        <f t="shared" si="8"/>
        <v>-25000</v>
      </c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2:35" hidden="1" outlineLevel="1" x14ac:dyDescent="0.3">
      <c r="C90" s="14" t="s">
        <v>97</v>
      </c>
      <c r="D90" s="3">
        <f t="shared" ref="D90:D91" si="9">1500000/60</f>
        <v>25000</v>
      </c>
      <c r="E90" s="3">
        <f t="shared" ref="E90:N95" si="10">-$D90</f>
        <v>-25000</v>
      </c>
      <c r="F90" s="3">
        <f t="shared" si="10"/>
        <v>-25000</v>
      </c>
      <c r="G90" s="3">
        <f t="shared" si="10"/>
        <v>-25000</v>
      </c>
      <c r="H90" s="3">
        <f t="shared" si="10"/>
        <v>-25000</v>
      </c>
      <c r="I90" s="3">
        <f t="shared" si="10"/>
        <v>-25000</v>
      </c>
      <c r="J90" s="3">
        <f t="shared" si="10"/>
        <v>-25000</v>
      </c>
      <c r="K90" s="3">
        <f t="shared" si="10"/>
        <v>-25000</v>
      </c>
      <c r="L90" s="3">
        <f t="shared" si="10"/>
        <v>-25000</v>
      </c>
      <c r="M90" s="3">
        <f t="shared" si="10"/>
        <v>-25000</v>
      </c>
      <c r="N90" s="3">
        <f t="shared" si="10"/>
        <v>-25000</v>
      </c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2:35" hidden="1" outlineLevel="1" x14ac:dyDescent="0.3">
      <c r="C91" s="14" t="s">
        <v>98</v>
      </c>
      <c r="D91" s="3">
        <f t="shared" si="9"/>
        <v>25000</v>
      </c>
      <c r="E91" s="3">
        <f t="shared" si="10"/>
        <v>-25000</v>
      </c>
      <c r="F91" s="3">
        <f t="shared" si="10"/>
        <v>-25000</v>
      </c>
      <c r="G91" s="3">
        <f t="shared" si="10"/>
        <v>-25000</v>
      </c>
      <c r="H91" s="3">
        <f t="shared" si="10"/>
        <v>-25000</v>
      </c>
      <c r="I91" s="3">
        <f t="shared" si="10"/>
        <v>-25000</v>
      </c>
      <c r="J91" s="3">
        <f t="shared" si="10"/>
        <v>-25000</v>
      </c>
      <c r="K91" s="3">
        <f t="shared" si="10"/>
        <v>-25000</v>
      </c>
      <c r="L91" s="3">
        <f t="shared" si="10"/>
        <v>-25000</v>
      </c>
      <c r="M91" s="3">
        <f t="shared" si="10"/>
        <v>-25000</v>
      </c>
      <c r="N91" s="3">
        <f t="shared" si="10"/>
        <v>-25000</v>
      </c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2:35" hidden="1" outlineLevel="1" x14ac:dyDescent="0.3">
      <c r="C92" s="14" t="s">
        <v>99</v>
      </c>
      <c r="D92" s="3">
        <f>6000000/60</f>
        <v>100000</v>
      </c>
      <c r="E92" s="3">
        <f t="shared" si="10"/>
        <v>-100000</v>
      </c>
      <c r="F92" s="3">
        <f t="shared" si="10"/>
        <v>-100000</v>
      </c>
      <c r="G92" s="3">
        <f t="shared" si="10"/>
        <v>-100000</v>
      </c>
      <c r="H92" s="3">
        <f t="shared" si="10"/>
        <v>-100000</v>
      </c>
      <c r="I92" s="3">
        <f t="shared" si="10"/>
        <v>-100000</v>
      </c>
      <c r="J92" s="3">
        <f t="shared" si="10"/>
        <v>-100000</v>
      </c>
      <c r="K92" s="3">
        <f t="shared" si="10"/>
        <v>-100000</v>
      </c>
      <c r="L92" s="3">
        <f t="shared" si="10"/>
        <v>-100000</v>
      </c>
      <c r="M92" s="3">
        <f t="shared" si="10"/>
        <v>-100000</v>
      </c>
      <c r="N92" s="3">
        <f t="shared" si="10"/>
        <v>-100000</v>
      </c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2:35" hidden="1" outlineLevel="1" x14ac:dyDescent="0.3">
      <c r="C93" s="14" t="s">
        <v>100</v>
      </c>
      <c r="D93" s="3">
        <f>6000000/60</f>
        <v>100000</v>
      </c>
      <c r="E93" s="3">
        <f t="shared" si="10"/>
        <v>-100000</v>
      </c>
      <c r="F93" s="3">
        <f t="shared" si="10"/>
        <v>-100000</v>
      </c>
      <c r="G93" s="3">
        <f t="shared" si="10"/>
        <v>-100000</v>
      </c>
      <c r="H93" s="3">
        <f t="shared" si="10"/>
        <v>-100000</v>
      </c>
      <c r="I93" s="3">
        <f t="shared" si="10"/>
        <v>-100000</v>
      </c>
      <c r="J93" s="3">
        <f t="shared" si="10"/>
        <v>-100000</v>
      </c>
      <c r="K93" s="3">
        <f t="shared" si="10"/>
        <v>-100000</v>
      </c>
      <c r="L93" s="3">
        <f t="shared" si="10"/>
        <v>-100000</v>
      </c>
      <c r="M93" s="3">
        <f t="shared" si="10"/>
        <v>-100000</v>
      </c>
      <c r="N93" s="3">
        <f t="shared" si="10"/>
        <v>-100000</v>
      </c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2:35" hidden="1" outlineLevel="1" x14ac:dyDescent="0.3">
      <c r="C94" s="14" t="s">
        <v>101</v>
      </c>
      <c r="D94" s="3">
        <f>3000000/60</f>
        <v>50000</v>
      </c>
      <c r="E94" s="3">
        <f t="shared" si="10"/>
        <v>-50000</v>
      </c>
      <c r="F94" s="3">
        <f t="shared" si="10"/>
        <v>-50000</v>
      </c>
      <c r="G94" s="3">
        <f t="shared" si="10"/>
        <v>-50000</v>
      </c>
      <c r="H94" s="3">
        <f t="shared" si="10"/>
        <v>-50000</v>
      </c>
      <c r="I94" s="3">
        <f t="shared" si="10"/>
        <v>-50000</v>
      </c>
      <c r="J94" s="3">
        <f t="shared" si="10"/>
        <v>-50000</v>
      </c>
      <c r="K94" s="3">
        <f t="shared" si="10"/>
        <v>-50000</v>
      </c>
      <c r="L94" s="3">
        <f t="shared" si="10"/>
        <v>-50000</v>
      </c>
      <c r="M94" s="3">
        <f t="shared" si="10"/>
        <v>-50000</v>
      </c>
      <c r="N94" s="3">
        <f t="shared" si="10"/>
        <v>-50000</v>
      </c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2:35" hidden="1" outlineLevel="1" x14ac:dyDescent="0.3">
      <c r="C95" s="14" t="s">
        <v>102</v>
      </c>
      <c r="D95" s="3">
        <f>2000000/60</f>
        <v>33333.333333333336</v>
      </c>
      <c r="E95" s="3">
        <f t="shared" si="10"/>
        <v>-33333.333333333336</v>
      </c>
      <c r="F95" s="3">
        <f t="shared" si="10"/>
        <v>-33333.333333333336</v>
      </c>
      <c r="G95" s="3">
        <f t="shared" si="10"/>
        <v>-33333.333333333336</v>
      </c>
      <c r="H95" s="3">
        <f t="shared" si="10"/>
        <v>-33333.333333333336</v>
      </c>
      <c r="I95" s="3">
        <f t="shared" si="10"/>
        <v>-33333.333333333336</v>
      </c>
      <c r="J95" s="3">
        <f t="shared" si="10"/>
        <v>-33333.333333333336</v>
      </c>
      <c r="K95" s="3">
        <f t="shared" si="10"/>
        <v>-33333.333333333336</v>
      </c>
      <c r="L95" s="3">
        <f t="shared" si="10"/>
        <v>-33333.333333333336</v>
      </c>
      <c r="M95" s="3">
        <f t="shared" si="10"/>
        <v>-33333.333333333336</v>
      </c>
      <c r="N95" s="3">
        <f t="shared" si="10"/>
        <v>-33333.333333333336</v>
      </c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2:35" x14ac:dyDescent="0.3"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3">
      <c r="C97" s="19" t="s">
        <v>112</v>
      </c>
      <c r="D97" s="20"/>
      <c r="E97" s="21">
        <f>E64+E67</f>
        <v>2487292.3566666665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3">
      <c r="C98" s="1" t="s">
        <v>113</v>
      </c>
      <c r="E98" s="7">
        <f>E97/E2</f>
        <v>0.31091154458333331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3"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3">
      <c r="C100" t="s">
        <v>114</v>
      </c>
      <c r="E100" s="3">
        <f>E97+D100</f>
        <v>2487292.3566666665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3"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3">
      <c r="C102" s="2" t="s">
        <v>115</v>
      </c>
      <c r="E102" s="4">
        <f>SUMIFS(E$103:E$182,$B$103:$B$182,"s")</f>
        <v>-1343639.89</v>
      </c>
      <c r="F102" s="4">
        <f>SUMIFS(F$103:F$182,$B$103:$B$182,"s")</f>
        <v>-1345547.5499999998</v>
      </c>
      <c r="G102" s="4">
        <f>SUMIFS(G$103:G$182,$B$103:$B$182,"s")</f>
        <v>-2190805.5533333332</v>
      </c>
      <c r="H102" s="4">
        <f t="shared" ref="H102:N102" si="11">SUMIFS(H$103:H$182,$B$103:$B$182,"s")</f>
        <v>-2183485.2533333334</v>
      </c>
      <c r="I102" s="4">
        <f t="shared" si="11"/>
        <v>-2188774.9933333332</v>
      </c>
      <c r="J102" s="4">
        <f t="shared" si="11"/>
        <v>-2187947.2233333332</v>
      </c>
      <c r="K102" s="4">
        <f t="shared" si="11"/>
        <v>-2193274.1033333335</v>
      </c>
      <c r="L102" s="4">
        <f t="shared" si="11"/>
        <v>-2192784.3533333335</v>
      </c>
      <c r="M102" s="4">
        <f t="shared" si="11"/>
        <v>-2195219.7233333332</v>
      </c>
      <c r="N102" s="4">
        <f t="shared" si="11"/>
        <v>-2200415.4533333331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3"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3">
      <c r="C104" s="1" t="s">
        <v>127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3">
      <c r="C105" s="25" t="s">
        <v>116</v>
      </c>
      <c r="E105" s="3">
        <f t="shared" ref="E105:G107" si="12">SUMIFS(E$109:E$140,$C$109:$C$140,$C105)</f>
        <v>21277504.460000005</v>
      </c>
      <c r="F105" s="3">
        <f t="shared" si="12"/>
        <v>20380723.57</v>
      </c>
      <c r="G105" s="3">
        <f t="shared" si="12"/>
        <v>29482035.019999996</v>
      </c>
      <c r="H105" s="3">
        <f t="shared" ref="H105:N107" si="13">SUMIFS(H$109:H$140,$C$109:$C$140,$C105)</f>
        <v>27738088.466666669</v>
      </c>
      <c r="I105" s="3">
        <f t="shared" si="13"/>
        <v>26001462.213333331</v>
      </c>
      <c r="J105" s="3">
        <f t="shared" si="13"/>
        <v>24259546.220000003</v>
      </c>
      <c r="K105" s="3">
        <f t="shared" si="13"/>
        <v>22518457.99666667</v>
      </c>
      <c r="L105" s="3">
        <f t="shared" si="13"/>
        <v>20772042.893333338</v>
      </c>
      <c r="M105" s="3">
        <f t="shared" si="13"/>
        <v>19026117.540000007</v>
      </c>
      <c r="N105" s="3">
        <f t="shared" si="13"/>
        <v>17277756.81666667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3">
      <c r="B106" s="33" t="s">
        <v>192</v>
      </c>
      <c r="C106" s="25" t="s">
        <v>117</v>
      </c>
      <c r="E106" s="3">
        <f t="shared" si="12"/>
        <v>-896780.8899999999</v>
      </c>
      <c r="F106" s="3">
        <f t="shared" si="12"/>
        <v>-898688.54999999993</v>
      </c>
      <c r="G106" s="3">
        <f t="shared" si="12"/>
        <v>-1743946.5533333332</v>
      </c>
      <c r="H106" s="3">
        <f t="shared" si="13"/>
        <v>-1736626.2533333334</v>
      </c>
      <c r="I106" s="3">
        <f t="shared" si="13"/>
        <v>-1741915.9933333332</v>
      </c>
      <c r="J106" s="3">
        <f t="shared" si="13"/>
        <v>-1741088.2233333332</v>
      </c>
      <c r="K106" s="3">
        <f t="shared" si="13"/>
        <v>-1746415.1033333333</v>
      </c>
      <c r="L106" s="3">
        <f t="shared" si="13"/>
        <v>-1745925.3533333333</v>
      </c>
      <c r="M106" s="3">
        <f t="shared" si="13"/>
        <v>-1748360.7233333332</v>
      </c>
      <c r="N106" s="3">
        <f t="shared" si="13"/>
        <v>-1753556.4533333334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3">
      <c r="C107" s="25" t="s">
        <v>118</v>
      </c>
      <c r="E107" s="3">
        <f t="shared" si="12"/>
        <v>20380723.57</v>
      </c>
      <c r="F107" s="3">
        <f t="shared" si="12"/>
        <v>19482035.019999996</v>
      </c>
      <c r="G107" s="3">
        <f t="shared" si="12"/>
        <v>27738088.466666669</v>
      </c>
      <c r="H107" s="3">
        <f t="shared" si="13"/>
        <v>26001462.213333331</v>
      </c>
      <c r="I107" s="3">
        <f t="shared" si="13"/>
        <v>24259546.220000003</v>
      </c>
      <c r="J107" s="3">
        <f t="shared" si="13"/>
        <v>22518457.99666667</v>
      </c>
      <c r="K107" s="3">
        <f t="shared" si="13"/>
        <v>20772042.893333338</v>
      </c>
      <c r="L107" s="3">
        <f t="shared" si="13"/>
        <v>19026117.540000007</v>
      </c>
      <c r="M107" s="3">
        <f t="shared" si="13"/>
        <v>17277756.81666667</v>
      </c>
      <c r="N107" s="3">
        <f t="shared" si="13"/>
        <v>15524200.363333337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collapsed="1" x14ac:dyDescent="0.3">
      <c r="C108" s="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idden="1" outlineLevel="1" x14ac:dyDescent="0.3">
      <c r="C109" s="1" t="s">
        <v>119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s="26" customFormat="1" hidden="1" outlineLevel="2" x14ac:dyDescent="0.3">
      <c r="A110" s="33"/>
      <c r="B110" s="33"/>
      <c r="C110" s="25" t="s">
        <v>116</v>
      </c>
      <c r="E110" s="29">
        <v>3900000</v>
      </c>
      <c r="F110" s="29">
        <f t="shared" ref="F110:S110" si="14">E112</f>
        <v>3640000</v>
      </c>
      <c r="G110" s="29">
        <f t="shared" si="14"/>
        <v>3380000</v>
      </c>
      <c r="H110" s="29">
        <f t="shared" si="14"/>
        <v>3120000</v>
      </c>
      <c r="I110" s="29">
        <f t="shared" si="14"/>
        <v>2860000</v>
      </c>
      <c r="J110" s="29">
        <f t="shared" si="14"/>
        <v>2600000</v>
      </c>
      <c r="K110" s="29">
        <f t="shared" si="14"/>
        <v>2340000</v>
      </c>
      <c r="L110" s="29">
        <f t="shared" si="14"/>
        <v>2080000</v>
      </c>
      <c r="M110" s="29">
        <f t="shared" si="14"/>
        <v>1820000</v>
      </c>
      <c r="N110" s="29">
        <f t="shared" si="14"/>
        <v>1560000</v>
      </c>
      <c r="O110" s="29">
        <f t="shared" si="14"/>
        <v>1300000</v>
      </c>
      <c r="P110" s="29">
        <f t="shared" si="14"/>
        <v>1040000</v>
      </c>
      <c r="Q110" s="29">
        <f t="shared" si="14"/>
        <v>780000</v>
      </c>
      <c r="R110" s="29">
        <f t="shared" si="14"/>
        <v>520000</v>
      </c>
      <c r="S110" s="29">
        <f t="shared" si="14"/>
        <v>260000</v>
      </c>
      <c r="T110" s="29"/>
      <c r="U110" s="29"/>
      <c r="V110" s="29"/>
      <c r="W110" s="29"/>
      <c r="X110" s="29"/>
    </row>
    <row r="111" spans="1:24" s="26" customFormat="1" hidden="1" outlineLevel="2" x14ac:dyDescent="0.3">
      <c r="A111" s="33"/>
      <c r="B111" s="33"/>
      <c r="C111" s="25" t="s">
        <v>117</v>
      </c>
      <c r="E111" s="29">
        <v>-260000</v>
      </c>
      <c r="F111" s="29">
        <v>-260000</v>
      </c>
      <c r="G111" s="29">
        <v>-260000</v>
      </c>
      <c r="H111" s="29">
        <v>-260000</v>
      </c>
      <c r="I111" s="29">
        <v>-260000</v>
      </c>
      <c r="J111" s="29">
        <v>-260000</v>
      </c>
      <c r="K111" s="29">
        <v>-260000</v>
      </c>
      <c r="L111" s="29">
        <v>-260000</v>
      </c>
      <c r="M111" s="29">
        <v>-260000</v>
      </c>
      <c r="N111" s="29">
        <v>-260000</v>
      </c>
      <c r="O111" s="29">
        <v>-260000</v>
      </c>
      <c r="P111" s="29">
        <v>-260000</v>
      </c>
      <c r="Q111" s="29">
        <v>-260000</v>
      </c>
      <c r="R111" s="29">
        <v>-260000</v>
      </c>
      <c r="S111" s="29">
        <v>-260000</v>
      </c>
      <c r="T111" s="29"/>
      <c r="U111" s="29"/>
      <c r="V111" s="29"/>
      <c r="W111" s="29"/>
      <c r="X111" s="29"/>
    </row>
    <row r="112" spans="1:24" s="26" customFormat="1" hidden="1" outlineLevel="2" x14ac:dyDescent="0.3">
      <c r="A112" s="33"/>
      <c r="B112" s="33"/>
      <c r="C112" s="25" t="s">
        <v>118</v>
      </c>
      <c r="E112" s="29">
        <f t="shared" ref="E112" si="15">E110+E111</f>
        <v>3640000</v>
      </c>
      <c r="F112" s="29">
        <f t="shared" ref="F112" si="16">F110+F111</f>
        <v>3380000</v>
      </c>
      <c r="G112" s="29">
        <f t="shared" ref="G112" si="17">G110+G111</f>
        <v>3120000</v>
      </c>
      <c r="H112" s="29">
        <f t="shared" ref="H112" si="18">H110+H111</f>
        <v>2860000</v>
      </c>
      <c r="I112" s="29">
        <f t="shared" ref="I112" si="19">I110+I111</f>
        <v>2600000</v>
      </c>
      <c r="J112" s="29">
        <f t="shared" ref="J112" si="20">J110+J111</f>
        <v>2340000</v>
      </c>
      <c r="K112" s="29">
        <f t="shared" ref="K112" si="21">K110+K111</f>
        <v>2080000</v>
      </c>
      <c r="L112" s="29">
        <f t="shared" ref="L112" si="22">L110+L111</f>
        <v>1820000</v>
      </c>
      <c r="M112" s="29">
        <f t="shared" ref="M112" si="23">M110+M111</f>
        <v>1560000</v>
      </c>
      <c r="N112" s="29">
        <f t="shared" ref="N112" si="24">N110+N111</f>
        <v>1300000</v>
      </c>
      <c r="O112" s="29">
        <f t="shared" ref="O112" si="25">O110+O111</f>
        <v>1040000</v>
      </c>
      <c r="P112" s="29">
        <f t="shared" ref="P112" si="26">P110+P111</f>
        <v>780000</v>
      </c>
      <c r="Q112" s="29">
        <f t="shared" ref="Q112" si="27">Q110+Q111</f>
        <v>520000</v>
      </c>
      <c r="R112" s="29">
        <f t="shared" ref="R112" si="28">R110+R111</f>
        <v>260000</v>
      </c>
      <c r="S112" s="29">
        <f t="shared" ref="S112" si="29">S110+S111</f>
        <v>0</v>
      </c>
      <c r="T112" s="29"/>
      <c r="U112" s="29"/>
      <c r="V112" s="29"/>
      <c r="W112" s="29"/>
      <c r="X112" s="29"/>
    </row>
    <row r="113" spans="1:37" hidden="1" outlineLevel="1" x14ac:dyDescent="0.3">
      <c r="C113" s="1" t="s">
        <v>120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37" s="26" customFormat="1" hidden="1" outlineLevel="2" x14ac:dyDescent="0.3">
      <c r="A114" s="33"/>
      <c r="B114" s="33"/>
      <c r="C114" s="25" t="s">
        <v>116</v>
      </c>
      <c r="E114" s="29">
        <v>4167765.88</v>
      </c>
      <c r="F114" s="29">
        <f t="shared" ref="F114:AK114" si="30">E116</f>
        <v>4086375.4</v>
      </c>
      <c r="G114" s="29">
        <f t="shared" si="30"/>
        <v>4003077.26</v>
      </c>
      <c r="H114" s="29">
        <f t="shared" si="30"/>
        <v>3907854.4499999997</v>
      </c>
      <c r="I114" s="29">
        <f t="shared" si="30"/>
        <v>3819951.94</v>
      </c>
      <c r="J114" s="29">
        <f t="shared" si="30"/>
        <v>3726759.69</v>
      </c>
      <c r="K114" s="29">
        <f t="shared" si="30"/>
        <v>3634395.21</v>
      </c>
      <c r="L114" s="29">
        <f t="shared" si="30"/>
        <v>3536703.85</v>
      </c>
      <c r="M114" s="29">
        <f t="shared" si="30"/>
        <v>3439502.24</v>
      </c>
      <c r="N114" s="29">
        <f t="shared" si="30"/>
        <v>3339865.2600000002</v>
      </c>
      <c r="O114" s="29">
        <f t="shared" si="30"/>
        <v>3235032.5500000003</v>
      </c>
      <c r="P114" s="29">
        <f t="shared" si="30"/>
        <v>3130442.0900000003</v>
      </c>
      <c r="Q114" s="29">
        <f t="shared" si="30"/>
        <v>3020531.5900000003</v>
      </c>
      <c r="R114" s="29">
        <f t="shared" si="30"/>
        <v>2910397.39</v>
      </c>
      <c r="S114" s="29">
        <f t="shared" si="30"/>
        <v>2797592.81</v>
      </c>
      <c r="T114" s="29">
        <f t="shared" si="30"/>
        <v>2675089.7200000002</v>
      </c>
      <c r="U114" s="29">
        <f t="shared" si="30"/>
        <v>2556300.54</v>
      </c>
      <c r="V114" s="29">
        <f t="shared" si="30"/>
        <v>2432661.09</v>
      </c>
      <c r="W114" s="29">
        <f t="shared" si="30"/>
        <v>2307797.9099999997</v>
      </c>
      <c r="X114" s="29">
        <f t="shared" si="30"/>
        <v>2177941.11</v>
      </c>
      <c r="Y114" s="26">
        <f t="shared" si="30"/>
        <v>2046905.88</v>
      </c>
      <c r="Z114" s="26">
        <f t="shared" si="30"/>
        <v>1912377.69</v>
      </c>
      <c r="AA114" s="26">
        <f t="shared" si="30"/>
        <v>1772933.2999999998</v>
      </c>
      <c r="AB114" s="26">
        <f t="shared" si="30"/>
        <v>1631653.4799999997</v>
      </c>
      <c r="AC114" s="26">
        <f t="shared" si="30"/>
        <v>1485402.4899999998</v>
      </c>
      <c r="AD114" s="26">
        <f t="shared" si="30"/>
        <v>1336727.2299999997</v>
      </c>
      <c r="AE114" s="26">
        <f t="shared" si="30"/>
        <v>1184314.1499999997</v>
      </c>
      <c r="AF114" s="26">
        <f t="shared" si="30"/>
        <v>1026183.6799999997</v>
      </c>
      <c r="AG114" s="26">
        <f t="shared" si="30"/>
        <v>866011.24999999977</v>
      </c>
      <c r="AH114" s="26">
        <f t="shared" si="30"/>
        <v>701138.68999999971</v>
      </c>
      <c r="AI114" s="26">
        <f t="shared" si="30"/>
        <v>532844.57999999973</v>
      </c>
      <c r="AJ114" s="26">
        <f t="shared" si="30"/>
        <v>360187.22999999975</v>
      </c>
      <c r="AK114" s="26">
        <f t="shared" si="30"/>
        <v>183373.98999999976</v>
      </c>
    </row>
    <row r="115" spans="1:37" s="26" customFormat="1" hidden="1" outlineLevel="2" x14ac:dyDescent="0.3">
      <c r="A115" s="33"/>
      <c r="B115" s="33"/>
      <c r="C115" s="25" t="s">
        <v>117</v>
      </c>
      <c r="E115" s="29">
        <v>-81390.48</v>
      </c>
      <c r="F115" s="29">
        <v>-83298.14</v>
      </c>
      <c r="G115" s="29">
        <v>-95222.81</v>
      </c>
      <c r="H115" s="29">
        <v>-87902.51</v>
      </c>
      <c r="I115" s="29">
        <v>-93192.25</v>
      </c>
      <c r="J115" s="29">
        <v>-92364.479999999996</v>
      </c>
      <c r="K115" s="29">
        <v>-97691.36</v>
      </c>
      <c r="L115" s="29">
        <v>-97201.61</v>
      </c>
      <c r="M115" s="29">
        <v>-99636.98</v>
      </c>
      <c r="N115" s="29">
        <v>-104832.71</v>
      </c>
      <c r="O115" s="29">
        <v>-104590.46</v>
      </c>
      <c r="P115" s="29">
        <v>-109910.5</v>
      </c>
      <c r="Q115" s="29">
        <v>-110134.2</v>
      </c>
      <c r="R115" s="29">
        <v>-112804.58</v>
      </c>
      <c r="S115" s="29">
        <v>-122503.09</v>
      </c>
      <c r="T115" s="29">
        <v>-118789.18</v>
      </c>
      <c r="U115" s="29">
        <v>-123639.45</v>
      </c>
      <c r="V115" s="29">
        <v>-124863.18</v>
      </c>
      <c r="W115" s="29">
        <v>-129856.8</v>
      </c>
      <c r="X115" s="29">
        <v>-131035.23</v>
      </c>
      <c r="Y115" s="26">
        <v>-134528.19</v>
      </c>
      <c r="Z115" s="26">
        <v>-139444.39000000001</v>
      </c>
      <c r="AA115" s="26">
        <v>-141279.82</v>
      </c>
      <c r="AB115" s="26">
        <v>-146250.99</v>
      </c>
      <c r="AC115" s="26">
        <v>-148675.26</v>
      </c>
      <c r="AD115" s="26">
        <v>-152413.07999999999</v>
      </c>
      <c r="AE115" s="26">
        <v>-158130.47</v>
      </c>
      <c r="AF115" s="26">
        <v>-160172.43</v>
      </c>
      <c r="AG115" s="26">
        <v>-164872.56</v>
      </c>
      <c r="AH115" s="26">
        <v>-168294.11</v>
      </c>
      <c r="AI115" s="26">
        <v>-172657.35</v>
      </c>
      <c r="AJ115" s="26">
        <v>-176813.24</v>
      </c>
      <c r="AK115" s="26">
        <v>-183373.99</v>
      </c>
    </row>
    <row r="116" spans="1:37" s="26" customFormat="1" hidden="1" outlineLevel="2" x14ac:dyDescent="0.3">
      <c r="A116" s="33"/>
      <c r="B116" s="33"/>
      <c r="C116" s="25" t="s">
        <v>118</v>
      </c>
      <c r="E116" s="29">
        <f t="shared" ref="E116" si="31">E114+E115</f>
        <v>4086375.4</v>
      </c>
      <c r="F116" s="29">
        <f t="shared" ref="F116" si="32">F114+F115</f>
        <v>4003077.26</v>
      </c>
      <c r="G116" s="29">
        <f t="shared" ref="G116" si="33">G114+G115</f>
        <v>3907854.4499999997</v>
      </c>
      <c r="H116" s="29">
        <f t="shared" ref="H116" si="34">H114+H115</f>
        <v>3819951.94</v>
      </c>
      <c r="I116" s="29">
        <f t="shared" ref="I116" si="35">I114+I115</f>
        <v>3726759.69</v>
      </c>
      <c r="J116" s="29">
        <f t="shared" ref="J116" si="36">J114+J115</f>
        <v>3634395.21</v>
      </c>
      <c r="K116" s="29">
        <f t="shared" ref="K116" si="37">K114+K115</f>
        <v>3536703.85</v>
      </c>
      <c r="L116" s="29">
        <f t="shared" ref="L116" si="38">L114+L115</f>
        <v>3439502.24</v>
      </c>
      <c r="M116" s="29">
        <f t="shared" ref="M116" si="39">M114+M115</f>
        <v>3339865.2600000002</v>
      </c>
      <c r="N116" s="29">
        <f t="shared" ref="N116" si="40">N114+N115</f>
        <v>3235032.5500000003</v>
      </c>
      <c r="O116" s="29">
        <f t="shared" ref="O116" si="41">O114+O115</f>
        <v>3130442.0900000003</v>
      </c>
      <c r="P116" s="29">
        <f t="shared" ref="P116" si="42">P114+P115</f>
        <v>3020531.5900000003</v>
      </c>
      <c r="Q116" s="29">
        <f t="shared" ref="Q116" si="43">Q114+Q115</f>
        <v>2910397.39</v>
      </c>
      <c r="R116" s="29">
        <f t="shared" ref="R116" si="44">R114+R115</f>
        <v>2797592.81</v>
      </c>
      <c r="S116" s="29">
        <f t="shared" ref="S116" si="45">S114+S115</f>
        <v>2675089.7200000002</v>
      </c>
      <c r="T116" s="29">
        <f t="shared" ref="T116" si="46">T114+T115</f>
        <v>2556300.54</v>
      </c>
      <c r="U116" s="29">
        <f t="shared" ref="U116" si="47">U114+U115</f>
        <v>2432661.09</v>
      </c>
      <c r="V116" s="29">
        <f t="shared" ref="V116" si="48">V114+V115</f>
        <v>2307797.9099999997</v>
      </c>
      <c r="W116" s="29">
        <f t="shared" ref="W116" si="49">W114+W115</f>
        <v>2177941.11</v>
      </c>
      <c r="X116" s="29">
        <f t="shared" ref="X116" si="50">X114+X115</f>
        <v>2046905.88</v>
      </c>
      <c r="Y116" s="26">
        <f t="shared" ref="Y116" si="51">Y114+Y115</f>
        <v>1912377.69</v>
      </c>
      <c r="Z116" s="26">
        <f t="shared" ref="Z116" si="52">Z114+Z115</f>
        <v>1772933.2999999998</v>
      </c>
      <c r="AA116" s="26">
        <f t="shared" ref="AA116" si="53">AA114+AA115</f>
        <v>1631653.4799999997</v>
      </c>
      <c r="AB116" s="26">
        <f t="shared" ref="AB116" si="54">AB114+AB115</f>
        <v>1485402.4899999998</v>
      </c>
      <c r="AC116" s="26">
        <f t="shared" ref="AC116" si="55">AC114+AC115</f>
        <v>1336727.2299999997</v>
      </c>
      <c r="AD116" s="26">
        <f t="shared" ref="AD116" si="56">AD114+AD115</f>
        <v>1184314.1499999997</v>
      </c>
      <c r="AE116" s="26">
        <f t="shared" ref="AE116" si="57">AE114+AE115</f>
        <v>1026183.6799999997</v>
      </c>
      <c r="AF116" s="26">
        <f t="shared" ref="AF116" si="58">AF114+AF115</f>
        <v>866011.24999999977</v>
      </c>
      <c r="AG116" s="26">
        <f t="shared" ref="AG116" si="59">AG114+AG115</f>
        <v>701138.68999999971</v>
      </c>
      <c r="AH116" s="26">
        <f t="shared" ref="AH116" si="60">AH114+AH115</f>
        <v>532844.57999999973</v>
      </c>
      <c r="AI116" s="26">
        <f t="shared" ref="AI116" si="61">AI114+AI115</f>
        <v>360187.22999999975</v>
      </c>
      <c r="AJ116" s="26">
        <f t="shared" ref="AJ116" si="62">AJ114+AJ115</f>
        <v>183373.98999999976</v>
      </c>
      <c r="AK116" s="26">
        <f t="shared" ref="AK116" si="63">AK114+AK115</f>
        <v>-2.3283064365386963E-10</v>
      </c>
    </row>
    <row r="117" spans="1:37" hidden="1" outlineLevel="1" x14ac:dyDescent="0.3">
      <c r="C117" s="1" t="s">
        <v>121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37" s="26" customFormat="1" hidden="1" outlineLevel="2" x14ac:dyDescent="0.3">
      <c r="A118" s="33"/>
      <c r="B118" s="33"/>
      <c r="C118" s="25" t="s">
        <v>116</v>
      </c>
      <c r="E118" s="29">
        <v>7071428.5</v>
      </c>
      <c r="F118" s="29">
        <f t="shared" ref="F118:AC118" si="64">E120</f>
        <v>6788571.3600000003</v>
      </c>
      <c r="G118" s="29">
        <f t="shared" si="64"/>
        <v>6505714.2200000007</v>
      </c>
      <c r="H118" s="29">
        <f t="shared" si="64"/>
        <v>6222857.080000001</v>
      </c>
      <c r="I118" s="29">
        <f t="shared" si="64"/>
        <v>5939999.9400000013</v>
      </c>
      <c r="J118" s="29">
        <f t="shared" si="64"/>
        <v>5657142.8000000017</v>
      </c>
      <c r="K118" s="29">
        <f t="shared" si="64"/>
        <v>5374285.660000002</v>
      </c>
      <c r="L118" s="29">
        <f t="shared" si="64"/>
        <v>5091428.5200000023</v>
      </c>
      <c r="M118" s="29">
        <f t="shared" si="64"/>
        <v>4808571.3800000027</v>
      </c>
      <c r="N118" s="29">
        <f t="shared" si="64"/>
        <v>4525714.240000003</v>
      </c>
      <c r="O118" s="29">
        <f t="shared" si="64"/>
        <v>4242857.1000000034</v>
      </c>
      <c r="P118" s="29">
        <f t="shared" si="64"/>
        <v>3959999.9600000032</v>
      </c>
      <c r="Q118" s="29">
        <f t="shared" si="64"/>
        <v>3677142.8200000031</v>
      </c>
      <c r="R118" s="29">
        <f t="shared" si="64"/>
        <v>3394285.680000003</v>
      </c>
      <c r="S118" s="29">
        <f t="shared" si="64"/>
        <v>3111428.5400000028</v>
      </c>
      <c r="T118" s="29">
        <f t="shared" si="64"/>
        <v>2828571.4000000027</v>
      </c>
      <c r="U118" s="29">
        <f t="shared" si="64"/>
        <v>2545714.2600000026</v>
      </c>
      <c r="V118" s="29">
        <f t="shared" si="64"/>
        <v>2262857.1200000024</v>
      </c>
      <c r="W118" s="29">
        <f t="shared" si="64"/>
        <v>1979999.9800000023</v>
      </c>
      <c r="X118" s="29">
        <f t="shared" si="64"/>
        <v>1697142.8400000022</v>
      </c>
      <c r="Y118" s="26">
        <f t="shared" si="64"/>
        <v>1414285.700000002</v>
      </c>
      <c r="Z118" s="26">
        <f t="shared" si="64"/>
        <v>1131428.5600000019</v>
      </c>
      <c r="AA118" s="26">
        <f t="shared" si="64"/>
        <v>848571.4200000019</v>
      </c>
      <c r="AB118" s="26">
        <f t="shared" si="64"/>
        <v>565714.28000000189</v>
      </c>
      <c r="AC118" s="26">
        <f t="shared" si="64"/>
        <v>282857.14000000188</v>
      </c>
    </row>
    <row r="119" spans="1:37" s="26" customFormat="1" hidden="1" outlineLevel="2" x14ac:dyDescent="0.3">
      <c r="A119" s="33"/>
      <c r="B119" s="33"/>
      <c r="C119" s="25" t="s">
        <v>117</v>
      </c>
      <c r="E119" s="29">
        <v>-282857.14</v>
      </c>
      <c r="F119" s="29">
        <v>-282857.14</v>
      </c>
      <c r="G119" s="29">
        <v>-282857.14</v>
      </c>
      <c r="H119" s="29">
        <v>-282857.14</v>
      </c>
      <c r="I119" s="29">
        <v>-282857.14</v>
      </c>
      <c r="J119" s="29">
        <v>-282857.14</v>
      </c>
      <c r="K119" s="29">
        <v>-282857.14</v>
      </c>
      <c r="L119" s="29">
        <v>-282857.14</v>
      </c>
      <c r="M119" s="29">
        <v>-282857.14</v>
      </c>
      <c r="N119" s="29">
        <v>-282857.14</v>
      </c>
      <c r="O119" s="29">
        <v>-282857.14</v>
      </c>
      <c r="P119" s="29">
        <v>-282857.14</v>
      </c>
      <c r="Q119" s="29">
        <v>-282857.14</v>
      </c>
      <c r="R119" s="29">
        <v>-282857.14</v>
      </c>
      <c r="S119" s="29">
        <v>-282857.14</v>
      </c>
      <c r="T119" s="29">
        <v>-282857.14</v>
      </c>
      <c r="U119" s="29">
        <v>-282857.14</v>
      </c>
      <c r="V119" s="29">
        <v>-282857.14</v>
      </c>
      <c r="W119" s="29">
        <v>-282857.14</v>
      </c>
      <c r="X119" s="29">
        <v>-282857.14</v>
      </c>
      <c r="Y119" s="26">
        <v>-282857.14</v>
      </c>
      <c r="Z119" s="26">
        <v>-282857.14</v>
      </c>
      <c r="AA119" s="26">
        <v>-282857.14</v>
      </c>
      <c r="AB119" s="26">
        <v>-282857.14</v>
      </c>
      <c r="AC119" s="26">
        <v>-282857.14</v>
      </c>
    </row>
    <row r="120" spans="1:37" s="26" customFormat="1" hidden="1" outlineLevel="2" x14ac:dyDescent="0.3">
      <c r="A120" s="33"/>
      <c r="B120" s="33"/>
      <c r="C120" s="25" t="s">
        <v>118</v>
      </c>
      <c r="E120" s="29">
        <f t="shared" ref="E120" si="65">E118+E119</f>
        <v>6788571.3600000003</v>
      </c>
      <c r="F120" s="29">
        <f t="shared" ref="F120" si="66">F118+F119</f>
        <v>6505714.2200000007</v>
      </c>
      <c r="G120" s="29">
        <f t="shared" ref="G120" si="67">G118+G119</f>
        <v>6222857.080000001</v>
      </c>
      <c r="H120" s="29">
        <f t="shared" ref="H120" si="68">H118+H119</f>
        <v>5939999.9400000013</v>
      </c>
      <c r="I120" s="29">
        <f t="shared" ref="I120" si="69">I118+I119</f>
        <v>5657142.8000000017</v>
      </c>
      <c r="J120" s="29">
        <f t="shared" ref="J120" si="70">J118+J119</f>
        <v>5374285.660000002</v>
      </c>
      <c r="K120" s="29">
        <f t="shared" ref="K120" si="71">K118+K119</f>
        <v>5091428.5200000023</v>
      </c>
      <c r="L120" s="29">
        <f t="shared" ref="L120" si="72">L118+L119</f>
        <v>4808571.3800000027</v>
      </c>
      <c r="M120" s="29">
        <f t="shared" ref="M120" si="73">M118+M119</f>
        <v>4525714.240000003</v>
      </c>
      <c r="N120" s="29">
        <f t="shared" ref="N120" si="74">N118+N119</f>
        <v>4242857.1000000034</v>
      </c>
      <c r="O120" s="29">
        <f t="shared" ref="O120" si="75">O118+O119</f>
        <v>3959999.9600000032</v>
      </c>
      <c r="P120" s="29">
        <f t="shared" ref="P120" si="76">P118+P119</f>
        <v>3677142.8200000031</v>
      </c>
      <c r="Q120" s="29">
        <f t="shared" ref="Q120" si="77">Q118+Q119</f>
        <v>3394285.680000003</v>
      </c>
      <c r="R120" s="29">
        <f t="shared" ref="R120" si="78">R118+R119</f>
        <v>3111428.5400000028</v>
      </c>
      <c r="S120" s="29">
        <f t="shared" ref="S120" si="79">S118+S119</f>
        <v>2828571.4000000027</v>
      </c>
      <c r="T120" s="29">
        <f t="shared" ref="T120" si="80">T118+T119</f>
        <v>2545714.2600000026</v>
      </c>
      <c r="U120" s="29">
        <f t="shared" ref="U120" si="81">U118+U119</f>
        <v>2262857.1200000024</v>
      </c>
      <c r="V120" s="29">
        <f t="shared" ref="V120" si="82">V118+V119</f>
        <v>1979999.9800000023</v>
      </c>
      <c r="W120" s="29">
        <f t="shared" ref="W120" si="83">W118+W119</f>
        <v>1697142.8400000022</v>
      </c>
      <c r="X120" s="29">
        <f t="shared" ref="X120" si="84">X118+X119</f>
        <v>1414285.700000002</v>
      </c>
      <c r="Y120" s="26">
        <f t="shared" ref="Y120" si="85">Y118+Y119</f>
        <v>1131428.5600000019</v>
      </c>
      <c r="Z120" s="26">
        <f t="shared" ref="Z120" si="86">Z118+Z119</f>
        <v>848571.4200000019</v>
      </c>
      <c r="AA120" s="26">
        <f t="shared" ref="AA120" si="87">AA118+AA119</f>
        <v>565714.28000000189</v>
      </c>
      <c r="AB120" s="26">
        <f t="shared" ref="AB120" si="88">AB118+AB119</f>
        <v>282857.14000000188</v>
      </c>
      <c r="AC120" s="26">
        <f t="shared" ref="AC120" si="89">AC118+AC119</f>
        <v>1.862645149230957E-9</v>
      </c>
    </row>
    <row r="121" spans="1:37" hidden="1" outlineLevel="1" x14ac:dyDescent="0.3">
      <c r="C121" s="1" t="s">
        <v>122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37" s="26" customFormat="1" hidden="1" outlineLevel="2" x14ac:dyDescent="0.3">
      <c r="A122" s="33"/>
      <c r="B122" s="33"/>
      <c r="C122" s="25" t="s">
        <v>116</v>
      </c>
      <c r="E122" s="29">
        <v>5333333.28</v>
      </c>
      <c r="F122" s="29">
        <f t="shared" ref="F122:AB122" si="90">E124</f>
        <v>5111111.0600000005</v>
      </c>
      <c r="G122" s="29">
        <f t="shared" si="90"/>
        <v>4888888.8400000008</v>
      </c>
      <c r="H122" s="29">
        <f t="shared" si="90"/>
        <v>4666666.620000001</v>
      </c>
      <c r="I122" s="29">
        <f t="shared" si="90"/>
        <v>4444444.4000000013</v>
      </c>
      <c r="J122" s="29">
        <f t="shared" si="90"/>
        <v>4222222.1800000016</v>
      </c>
      <c r="K122" s="29">
        <f t="shared" si="90"/>
        <v>3999999.9600000014</v>
      </c>
      <c r="L122" s="29">
        <f t="shared" si="90"/>
        <v>3777777.7400000012</v>
      </c>
      <c r="M122" s="29">
        <f t="shared" si="90"/>
        <v>3555555.5200000009</v>
      </c>
      <c r="N122" s="29">
        <f t="shared" si="90"/>
        <v>3333333.3000000007</v>
      </c>
      <c r="O122" s="29">
        <f t="shared" si="90"/>
        <v>3111111.0800000005</v>
      </c>
      <c r="P122" s="29">
        <f t="shared" si="90"/>
        <v>2888888.8600000003</v>
      </c>
      <c r="Q122" s="29">
        <f t="shared" si="90"/>
        <v>2666666.64</v>
      </c>
      <c r="R122" s="29">
        <f t="shared" si="90"/>
        <v>2444444.42</v>
      </c>
      <c r="S122" s="29">
        <f t="shared" si="90"/>
        <v>2222222.1999999997</v>
      </c>
      <c r="T122" s="29">
        <f t="shared" si="90"/>
        <v>1999999.9799999997</v>
      </c>
      <c r="U122" s="29">
        <f t="shared" si="90"/>
        <v>1777777.7599999998</v>
      </c>
      <c r="V122" s="29">
        <f t="shared" si="90"/>
        <v>1555555.5399999998</v>
      </c>
      <c r="W122" s="29">
        <f t="shared" si="90"/>
        <v>1333333.3199999998</v>
      </c>
      <c r="X122" s="29">
        <f t="shared" si="90"/>
        <v>1111111.0999999999</v>
      </c>
      <c r="Y122" s="26">
        <f t="shared" si="90"/>
        <v>888888.87999999989</v>
      </c>
      <c r="Z122" s="26">
        <f t="shared" si="90"/>
        <v>666666.65999999992</v>
      </c>
      <c r="AA122" s="26">
        <f t="shared" si="90"/>
        <v>444444.43999999994</v>
      </c>
      <c r="AB122" s="26">
        <f t="shared" si="90"/>
        <v>222222.21999999994</v>
      </c>
    </row>
    <row r="123" spans="1:37" s="26" customFormat="1" hidden="1" outlineLevel="2" x14ac:dyDescent="0.3">
      <c r="A123" s="33"/>
      <c r="B123" s="33"/>
      <c r="C123" s="25" t="s">
        <v>117</v>
      </c>
      <c r="E123" s="29">
        <v>-222222.22</v>
      </c>
      <c r="F123" s="29">
        <v>-222222.22</v>
      </c>
      <c r="G123" s="29">
        <v>-222222.22</v>
      </c>
      <c r="H123" s="29">
        <v>-222222.22</v>
      </c>
      <c r="I123" s="29">
        <v>-222222.22</v>
      </c>
      <c r="J123" s="29">
        <v>-222222.22</v>
      </c>
      <c r="K123" s="29">
        <v>-222222.22</v>
      </c>
      <c r="L123" s="29">
        <v>-222222.22</v>
      </c>
      <c r="M123" s="29">
        <v>-222222.22</v>
      </c>
      <c r="N123" s="29">
        <v>-222222.22</v>
      </c>
      <c r="O123" s="29">
        <v>-222222.22</v>
      </c>
      <c r="P123" s="29">
        <v>-222222.22</v>
      </c>
      <c r="Q123" s="29">
        <v>-222222.22</v>
      </c>
      <c r="R123" s="29">
        <v>-222222.22</v>
      </c>
      <c r="S123" s="29">
        <v>-222222.22</v>
      </c>
      <c r="T123" s="29">
        <v>-222222.22</v>
      </c>
      <c r="U123" s="29">
        <v>-222222.22</v>
      </c>
      <c r="V123" s="29">
        <v>-222222.22</v>
      </c>
      <c r="W123" s="29">
        <v>-222222.22</v>
      </c>
      <c r="X123" s="29">
        <v>-222222.22</v>
      </c>
      <c r="Y123" s="26">
        <v>-222222.22</v>
      </c>
      <c r="Z123" s="26">
        <v>-222222.22</v>
      </c>
      <c r="AA123" s="26">
        <v>-222222.22</v>
      </c>
      <c r="AB123" s="26">
        <v>-222222.22</v>
      </c>
    </row>
    <row r="124" spans="1:37" s="26" customFormat="1" hidden="1" outlineLevel="2" x14ac:dyDescent="0.3">
      <c r="A124" s="33"/>
      <c r="B124" s="33"/>
      <c r="C124" s="25" t="s">
        <v>118</v>
      </c>
      <c r="E124" s="29">
        <f t="shared" ref="E124" si="91">E122+E123</f>
        <v>5111111.0600000005</v>
      </c>
      <c r="F124" s="29">
        <f t="shared" ref="F124" si="92">F122+F123</f>
        <v>4888888.8400000008</v>
      </c>
      <c r="G124" s="29">
        <f t="shared" ref="G124" si="93">G122+G123</f>
        <v>4666666.620000001</v>
      </c>
      <c r="H124" s="29">
        <f t="shared" ref="H124" si="94">H122+H123</f>
        <v>4444444.4000000013</v>
      </c>
      <c r="I124" s="29">
        <f t="shared" ref="I124" si="95">I122+I123</f>
        <v>4222222.1800000016</v>
      </c>
      <c r="J124" s="29">
        <f t="shared" ref="J124" si="96">J122+J123</f>
        <v>3999999.9600000014</v>
      </c>
      <c r="K124" s="29">
        <f t="shared" ref="K124" si="97">K122+K123</f>
        <v>3777777.7400000012</v>
      </c>
      <c r="L124" s="29">
        <f t="shared" ref="L124" si="98">L122+L123</f>
        <v>3555555.5200000009</v>
      </c>
      <c r="M124" s="29">
        <f t="shared" ref="M124" si="99">M122+M123</f>
        <v>3333333.3000000007</v>
      </c>
      <c r="N124" s="29">
        <f t="shared" ref="N124" si="100">N122+N123</f>
        <v>3111111.0800000005</v>
      </c>
      <c r="O124" s="29">
        <f t="shared" ref="O124" si="101">O122+O123</f>
        <v>2888888.8600000003</v>
      </c>
      <c r="P124" s="29">
        <f t="shared" ref="P124" si="102">P122+P123</f>
        <v>2666666.64</v>
      </c>
      <c r="Q124" s="29">
        <f t="shared" ref="Q124" si="103">Q122+Q123</f>
        <v>2444444.42</v>
      </c>
      <c r="R124" s="29">
        <f t="shared" ref="R124" si="104">R122+R123</f>
        <v>2222222.1999999997</v>
      </c>
      <c r="S124" s="29">
        <f t="shared" ref="S124" si="105">S122+S123</f>
        <v>1999999.9799999997</v>
      </c>
      <c r="T124" s="29">
        <f t="shared" ref="T124" si="106">T122+T123</f>
        <v>1777777.7599999998</v>
      </c>
      <c r="U124" s="29">
        <f t="shared" ref="U124" si="107">U122+U123</f>
        <v>1555555.5399999998</v>
      </c>
      <c r="V124" s="29">
        <f t="shared" ref="V124" si="108">V122+V123</f>
        <v>1333333.3199999998</v>
      </c>
      <c r="W124" s="29">
        <f t="shared" ref="W124" si="109">W122+W123</f>
        <v>1111111.0999999999</v>
      </c>
      <c r="X124" s="29">
        <f t="shared" ref="X124" si="110">X122+X123</f>
        <v>888888.87999999989</v>
      </c>
      <c r="Y124" s="26">
        <f t="shared" ref="Y124" si="111">Y122+Y123</f>
        <v>666666.65999999992</v>
      </c>
      <c r="Z124" s="26">
        <f t="shared" ref="Z124" si="112">Z122+Z123</f>
        <v>444444.43999999994</v>
      </c>
      <c r="AA124" s="26">
        <f t="shared" ref="AA124" si="113">AA122+AA123</f>
        <v>222222.21999999994</v>
      </c>
      <c r="AB124" s="26">
        <f t="shared" ref="AB124" si="114">AB122+AB123</f>
        <v>0</v>
      </c>
    </row>
    <row r="125" spans="1:37" hidden="1" outlineLevel="1" x14ac:dyDescent="0.3">
      <c r="C125" s="1" t="s">
        <v>123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37" s="26" customFormat="1" hidden="1" outlineLevel="2" x14ac:dyDescent="0.3">
      <c r="A126" s="33"/>
      <c r="B126" s="33"/>
      <c r="C126" s="25" t="s">
        <v>116</v>
      </c>
      <c r="E126" s="29">
        <v>268325.59999999998</v>
      </c>
      <c r="F126" s="29">
        <f t="shared" ref="F126:T126" si="115">E128</f>
        <v>251555.24999999997</v>
      </c>
      <c r="G126" s="29">
        <f t="shared" si="115"/>
        <v>234784.89999999997</v>
      </c>
      <c r="H126" s="29">
        <f t="shared" si="115"/>
        <v>218014.54999999996</v>
      </c>
      <c r="I126" s="29">
        <f t="shared" si="115"/>
        <v>201244.19999999995</v>
      </c>
      <c r="J126" s="29">
        <f t="shared" si="115"/>
        <v>184473.84999999995</v>
      </c>
      <c r="K126" s="29">
        <f t="shared" si="115"/>
        <v>167703.49999999994</v>
      </c>
      <c r="L126" s="29">
        <f t="shared" si="115"/>
        <v>150933.14999999994</v>
      </c>
      <c r="M126" s="29">
        <f t="shared" si="115"/>
        <v>134162.79999999993</v>
      </c>
      <c r="N126" s="29">
        <f t="shared" si="115"/>
        <v>117392.44999999992</v>
      </c>
      <c r="O126" s="29">
        <f t="shared" si="115"/>
        <v>100622.09999999992</v>
      </c>
      <c r="P126" s="29">
        <f t="shared" si="115"/>
        <v>83851.749999999913</v>
      </c>
      <c r="Q126" s="29">
        <f t="shared" si="115"/>
        <v>67081.399999999907</v>
      </c>
      <c r="R126" s="29">
        <f t="shared" si="115"/>
        <v>50311.049999999908</v>
      </c>
      <c r="S126" s="29">
        <f t="shared" si="115"/>
        <v>33540.69999999991</v>
      </c>
      <c r="T126" s="29">
        <f t="shared" si="115"/>
        <v>16770.349999999911</v>
      </c>
      <c r="U126" s="29"/>
      <c r="V126" s="29"/>
      <c r="W126" s="29"/>
      <c r="X126" s="29"/>
    </row>
    <row r="127" spans="1:37" s="26" customFormat="1" hidden="1" outlineLevel="2" x14ac:dyDescent="0.3">
      <c r="A127" s="33"/>
      <c r="B127" s="33"/>
      <c r="C127" s="25" t="s">
        <v>117</v>
      </c>
      <c r="E127" s="29">
        <v>-16770.349999999999</v>
      </c>
      <c r="F127" s="29">
        <v>-16770.349999999999</v>
      </c>
      <c r="G127" s="29">
        <v>-16770.349999999999</v>
      </c>
      <c r="H127" s="29">
        <v>-16770.349999999999</v>
      </c>
      <c r="I127" s="29">
        <v>-16770.349999999999</v>
      </c>
      <c r="J127" s="29">
        <v>-16770.349999999999</v>
      </c>
      <c r="K127" s="29">
        <v>-16770.349999999999</v>
      </c>
      <c r="L127" s="29">
        <v>-16770.349999999999</v>
      </c>
      <c r="M127" s="29">
        <v>-16770.349999999999</v>
      </c>
      <c r="N127" s="29">
        <v>-16770.349999999999</v>
      </c>
      <c r="O127" s="29">
        <v>-16770.349999999999</v>
      </c>
      <c r="P127" s="29">
        <v>-16770.349999999999</v>
      </c>
      <c r="Q127" s="29">
        <v>-16770.349999999999</v>
      </c>
      <c r="R127" s="29">
        <v>-16770.349999999999</v>
      </c>
      <c r="S127" s="29">
        <v>-16770.349999999999</v>
      </c>
      <c r="T127" s="29">
        <v>-16770.349999999999</v>
      </c>
      <c r="U127" s="29"/>
      <c r="V127" s="29"/>
      <c r="W127" s="29"/>
      <c r="X127" s="29"/>
    </row>
    <row r="128" spans="1:37" s="26" customFormat="1" hidden="1" outlineLevel="2" x14ac:dyDescent="0.3">
      <c r="A128" s="33"/>
      <c r="B128" s="33"/>
      <c r="C128" s="25" t="s">
        <v>118</v>
      </c>
      <c r="E128" s="29">
        <f t="shared" ref="E128" si="116">E126+E127</f>
        <v>251555.24999999997</v>
      </c>
      <c r="F128" s="29">
        <f t="shared" ref="F128" si="117">F126+F127</f>
        <v>234784.89999999997</v>
      </c>
      <c r="G128" s="29">
        <f t="shared" ref="G128" si="118">G126+G127</f>
        <v>218014.54999999996</v>
      </c>
      <c r="H128" s="29">
        <f t="shared" ref="H128" si="119">H126+H127</f>
        <v>201244.19999999995</v>
      </c>
      <c r="I128" s="29">
        <f t="shared" ref="I128" si="120">I126+I127</f>
        <v>184473.84999999995</v>
      </c>
      <c r="J128" s="29">
        <f t="shared" ref="J128" si="121">J126+J127</f>
        <v>167703.49999999994</v>
      </c>
      <c r="K128" s="29">
        <f t="shared" ref="K128" si="122">K126+K127</f>
        <v>150933.14999999994</v>
      </c>
      <c r="L128" s="29">
        <f t="shared" ref="L128" si="123">L126+L127</f>
        <v>134162.79999999993</v>
      </c>
      <c r="M128" s="29">
        <f t="shared" ref="M128" si="124">M126+M127</f>
        <v>117392.44999999992</v>
      </c>
      <c r="N128" s="29">
        <f t="shared" ref="N128" si="125">N126+N127</f>
        <v>100622.09999999992</v>
      </c>
      <c r="O128" s="29">
        <f t="shared" ref="O128" si="126">O126+O127</f>
        <v>83851.749999999913</v>
      </c>
      <c r="P128" s="29">
        <f t="shared" ref="P128" si="127">P126+P127</f>
        <v>67081.399999999907</v>
      </c>
      <c r="Q128" s="29">
        <f t="shared" ref="Q128" si="128">Q126+Q127</f>
        <v>50311.049999999908</v>
      </c>
      <c r="R128" s="29">
        <f t="shared" ref="R128" si="129">R126+R127</f>
        <v>33540.69999999991</v>
      </c>
      <c r="S128" s="29">
        <f t="shared" ref="S128" si="130">S126+S127</f>
        <v>16770.349999999911</v>
      </c>
      <c r="T128" s="29">
        <f t="shared" ref="T128" si="131">T126+T127</f>
        <v>-8.7311491370201111E-11</v>
      </c>
      <c r="U128" s="29"/>
      <c r="V128" s="29"/>
      <c r="W128" s="29"/>
      <c r="X128" s="29"/>
    </row>
    <row r="129" spans="1:37" hidden="1" outlineLevel="1" x14ac:dyDescent="0.3">
      <c r="C129" s="1" t="s">
        <v>124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7" s="26" customFormat="1" hidden="1" outlineLevel="2" x14ac:dyDescent="0.3">
      <c r="A130" s="33"/>
      <c r="B130" s="33"/>
      <c r="C130" s="25" t="s">
        <v>116</v>
      </c>
      <c r="E130" s="29">
        <v>268325.59999999998</v>
      </c>
      <c r="F130" s="29">
        <f t="shared" ref="F130:T130" si="132">E132</f>
        <v>251555.24999999997</v>
      </c>
      <c r="G130" s="29">
        <f t="shared" si="132"/>
        <v>234784.89999999997</v>
      </c>
      <c r="H130" s="29">
        <f t="shared" si="132"/>
        <v>218014.54999999996</v>
      </c>
      <c r="I130" s="29">
        <f t="shared" si="132"/>
        <v>201244.19999999995</v>
      </c>
      <c r="J130" s="29">
        <f t="shared" si="132"/>
        <v>184473.84999999995</v>
      </c>
      <c r="K130" s="29">
        <f t="shared" si="132"/>
        <v>167703.49999999994</v>
      </c>
      <c r="L130" s="29">
        <f t="shared" si="132"/>
        <v>150933.14999999994</v>
      </c>
      <c r="M130" s="29">
        <f t="shared" si="132"/>
        <v>134162.79999999993</v>
      </c>
      <c r="N130" s="29">
        <f t="shared" si="132"/>
        <v>117392.44999999992</v>
      </c>
      <c r="O130" s="29">
        <f t="shared" si="132"/>
        <v>100622.09999999992</v>
      </c>
      <c r="P130" s="29">
        <f t="shared" si="132"/>
        <v>83851.749999999913</v>
      </c>
      <c r="Q130" s="29">
        <f t="shared" si="132"/>
        <v>67081.399999999907</v>
      </c>
      <c r="R130" s="29">
        <f t="shared" si="132"/>
        <v>50311.049999999908</v>
      </c>
      <c r="S130" s="29">
        <f t="shared" si="132"/>
        <v>33540.69999999991</v>
      </c>
      <c r="T130" s="29">
        <f t="shared" si="132"/>
        <v>16770.349999999911</v>
      </c>
      <c r="U130" s="29"/>
      <c r="V130" s="29"/>
      <c r="W130" s="29"/>
      <c r="X130" s="29"/>
    </row>
    <row r="131" spans="1:37" s="26" customFormat="1" hidden="1" outlineLevel="2" x14ac:dyDescent="0.3">
      <c r="A131" s="33"/>
      <c r="B131" s="33"/>
      <c r="C131" s="25" t="s">
        <v>117</v>
      </c>
      <c r="E131" s="29">
        <v>-16770.349999999999</v>
      </c>
      <c r="F131" s="29">
        <v>-16770.349999999999</v>
      </c>
      <c r="G131" s="29">
        <v>-16770.349999999999</v>
      </c>
      <c r="H131" s="29">
        <v>-16770.349999999999</v>
      </c>
      <c r="I131" s="29">
        <v>-16770.349999999999</v>
      </c>
      <c r="J131" s="29">
        <v>-16770.349999999999</v>
      </c>
      <c r="K131" s="29">
        <v>-16770.349999999999</v>
      </c>
      <c r="L131" s="29">
        <v>-16770.349999999999</v>
      </c>
      <c r="M131" s="29">
        <v>-16770.349999999999</v>
      </c>
      <c r="N131" s="29">
        <v>-16770.349999999999</v>
      </c>
      <c r="O131" s="29">
        <v>-16770.349999999999</v>
      </c>
      <c r="P131" s="29">
        <v>-16770.349999999999</v>
      </c>
      <c r="Q131" s="29">
        <v>-16770.349999999999</v>
      </c>
      <c r="R131" s="29">
        <v>-16770.349999999999</v>
      </c>
      <c r="S131" s="29">
        <v>-16770.349999999999</v>
      </c>
      <c r="T131" s="29">
        <v>-16770.349999999999</v>
      </c>
      <c r="U131" s="29"/>
      <c r="V131" s="29"/>
      <c r="W131" s="29"/>
      <c r="X131" s="29"/>
    </row>
    <row r="132" spans="1:37" s="26" customFormat="1" hidden="1" outlineLevel="2" x14ac:dyDescent="0.3">
      <c r="A132" s="33"/>
      <c r="B132" s="33"/>
      <c r="C132" s="25" t="s">
        <v>118</v>
      </c>
      <c r="E132" s="29">
        <f t="shared" ref="E132" si="133">E130+E131</f>
        <v>251555.24999999997</v>
      </c>
      <c r="F132" s="29">
        <f t="shared" ref="F132" si="134">F130+F131</f>
        <v>234784.89999999997</v>
      </c>
      <c r="G132" s="29">
        <f t="shared" ref="G132" si="135">G130+G131</f>
        <v>218014.54999999996</v>
      </c>
      <c r="H132" s="29">
        <f t="shared" ref="H132" si="136">H130+H131</f>
        <v>201244.19999999995</v>
      </c>
      <c r="I132" s="29">
        <f t="shared" ref="I132" si="137">I130+I131</f>
        <v>184473.84999999995</v>
      </c>
      <c r="J132" s="29">
        <f t="shared" ref="J132" si="138">J130+J131</f>
        <v>167703.49999999994</v>
      </c>
      <c r="K132" s="29">
        <f t="shared" ref="K132" si="139">K130+K131</f>
        <v>150933.14999999994</v>
      </c>
      <c r="L132" s="29">
        <f t="shared" ref="L132" si="140">L130+L131</f>
        <v>134162.79999999993</v>
      </c>
      <c r="M132" s="29">
        <f t="shared" ref="M132" si="141">M130+M131</f>
        <v>117392.44999999992</v>
      </c>
      <c r="N132" s="29">
        <f t="shared" ref="N132" si="142">N130+N131</f>
        <v>100622.09999999992</v>
      </c>
      <c r="O132" s="29">
        <f t="shared" ref="O132" si="143">O130+O131</f>
        <v>83851.749999999913</v>
      </c>
      <c r="P132" s="29">
        <f t="shared" ref="P132" si="144">P130+P131</f>
        <v>67081.399999999907</v>
      </c>
      <c r="Q132" s="29">
        <f t="shared" ref="Q132" si="145">Q130+Q131</f>
        <v>50311.049999999908</v>
      </c>
      <c r="R132" s="29">
        <f t="shared" ref="R132" si="146">R130+R131</f>
        <v>33540.69999999991</v>
      </c>
      <c r="S132" s="29">
        <f t="shared" ref="S132" si="147">S130+S131</f>
        <v>16770.349999999911</v>
      </c>
      <c r="T132" s="29">
        <f t="shared" ref="T132" si="148">T130+T131</f>
        <v>-8.7311491370201111E-11</v>
      </c>
      <c r="U132" s="29"/>
      <c r="V132" s="29"/>
      <c r="W132" s="29"/>
      <c r="X132" s="29"/>
    </row>
    <row r="133" spans="1:37" hidden="1" outlineLevel="1" x14ac:dyDescent="0.3">
      <c r="C133" s="1" t="s">
        <v>125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37" s="26" customFormat="1" hidden="1" outlineLevel="2" x14ac:dyDescent="0.3">
      <c r="A134" s="33"/>
      <c r="B134" s="33"/>
      <c r="C134" s="25" t="s">
        <v>116</v>
      </c>
      <c r="E134" s="29">
        <v>268325.59999999998</v>
      </c>
      <c r="F134" s="29">
        <f t="shared" ref="F134:T134" si="149">E136</f>
        <v>251555.24999999997</v>
      </c>
      <c r="G134" s="29">
        <f t="shared" si="149"/>
        <v>234784.89999999997</v>
      </c>
      <c r="H134" s="29">
        <f t="shared" si="149"/>
        <v>218014.54999999996</v>
      </c>
      <c r="I134" s="29">
        <f t="shared" si="149"/>
        <v>201244.19999999995</v>
      </c>
      <c r="J134" s="29">
        <f t="shared" si="149"/>
        <v>184473.84999999995</v>
      </c>
      <c r="K134" s="29">
        <f t="shared" si="149"/>
        <v>167703.49999999994</v>
      </c>
      <c r="L134" s="29">
        <f t="shared" si="149"/>
        <v>150933.14999999994</v>
      </c>
      <c r="M134" s="29">
        <f t="shared" si="149"/>
        <v>134162.79999999993</v>
      </c>
      <c r="N134" s="29">
        <f t="shared" si="149"/>
        <v>117392.44999999992</v>
      </c>
      <c r="O134" s="29">
        <f t="shared" si="149"/>
        <v>100622.09999999992</v>
      </c>
      <c r="P134" s="29">
        <f t="shared" si="149"/>
        <v>83851.749999999913</v>
      </c>
      <c r="Q134" s="29">
        <f t="shared" si="149"/>
        <v>67081.399999999907</v>
      </c>
      <c r="R134" s="29">
        <f t="shared" si="149"/>
        <v>50311.049999999908</v>
      </c>
      <c r="S134" s="29">
        <f t="shared" si="149"/>
        <v>33540.69999999991</v>
      </c>
      <c r="T134" s="29">
        <f t="shared" si="149"/>
        <v>16770.349999999911</v>
      </c>
      <c r="U134" s="29"/>
      <c r="V134" s="29"/>
      <c r="W134" s="29"/>
      <c r="X134" s="29"/>
    </row>
    <row r="135" spans="1:37" s="26" customFormat="1" hidden="1" outlineLevel="2" x14ac:dyDescent="0.3">
      <c r="A135" s="33"/>
      <c r="B135" s="33"/>
      <c r="C135" s="25" t="s">
        <v>117</v>
      </c>
      <c r="E135" s="29">
        <v>-16770.349999999999</v>
      </c>
      <c r="F135" s="29">
        <v>-16770.349999999999</v>
      </c>
      <c r="G135" s="29">
        <v>-16770.349999999999</v>
      </c>
      <c r="H135" s="29">
        <v>-16770.349999999999</v>
      </c>
      <c r="I135" s="29">
        <v>-16770.349999999999</v>
      </c>
      <c r="J135" s="29">
        <v>-16770.349999999999</v>
      </c>
      <c r="K135" s="29">
        <v>-16770.349999999999</v>
      </c>
      <c r="L135" s="29">
        <v>-16770.349999999999</v>
      </c>
      <c r="M135" s="29">
        <v>-16770.349999999999</v>
      </c>
      <c r="N135" s="29">
        <v>-16770.349999999999</v>
      </c>
      <c r="O135" s="29">
        <v>-16770.349999999999</v>
      </c>
      <c r="P135" s="29">
        <v>-16770.349999999999</v>
      </c>
      <c r="Q135" s="29">
        <v>-16770.349999999999</v>
      </c>
      <c r="R135" s="29">
        <v>-16770.349999999999</v>
      </c>
      <c r="S135" s="29">
        <v>-16770.349999999999</v>
      </c>
      <c r="T135" s="29">
        <v>-16770.349999999999</v>
      </c>
      <c r="U135" s="29"/>
      <c r="V135" s="29"/>
      <c r="W135" s="29"/>
      <c r="X135" s="29"/>
    </row>
    <row r="136" spans="1:37" s="26" customFormat="1" hidden="1" outlineLevel="2" x14ac:dyDescent="0.3">
      <c r="A136" s="33"/>
      <c r="B136" s="33"/>
      <c r="C136" s="25" t="s">
        <v>118</v>
      </c>
      <c r="E136" s="29">
        <f t="shared" ref="E136" si="150">E134+E135</f>
        <v>251555.24999999997</v>
      </c>
      <c r="F136" s="29">
        <f t="shared" ref="F136" si="151">F134+F135</f>
        <v>234784.89999999997</v>
      </c>
      <c r="G136" s="29">
        <f t="shared" ref="G136" si="152">G134+G135</f>
        <v>218014.54999999996</v>
      </c>
      <c r="H136" s="29">
        <f t="shared" ref="H136" si="153">H134+H135</f>
        <v>201244.19999999995</v>
      </c>
      <c r="I136" s="29">
        <f t="shared" ref="I136" si="154">I134+I135</f>
        <v>184473.84999999995</v>
      </c>
      <c r="J136" s="29">
        <f t="shared" ref="J136" si="155">J134+J135</f>
        <v>167703.49999999994</v>
      </c>
      <c r="K136" s="29">
        <f t="shared" ref="K136" si="156">K134+K135</f>
        <v>150933.14999999994</v>
      </c>
      <c r="L136" s="29">
        <f t="shared" ref="L136" si="157">L134+L135</f>
        <v>134162.79999999993</v>
      </c>
      <c r="M136" s="29">
        <f t="shared" ref="M136" si="158">M134+M135</f>
        <v>117392.44999999992</v>
      </c>
      <c r="N136" s="29">
        <f t="shared" ref="N136" si="159">N134+N135</f>
        <v>100622.09999999992</v>
      </c>
      <c r="O136" s="29">
        <f t="shared" ref="O136" si="160">O134+O135</f>
        <v>83851.749999999913</v>
      </c>
      <c r="P136" s="29">
        <f t="shared" ref="P136" si="161">P134+P135</f>
        <v>67081.399999999907</v>
      </c>
      <c r="Q136" s="29">
        <f t="shared" ref="Q136" si="162">Q134+Q135</f>
        <v>50311.049999999908</v>
      </c>
      <c r="R136" s="29">
        <f t="shared" ref="R136" si="163">R134+R135</f>
        <v>33540.69999999991</v>
      </c>
      <c r="S136" s="29">
        <f t="shared" ref="S136" si="164">S134+S135</f>
        <v>16770.349999999911</v>
      </c>
      <c r="T136" s="29">
        <f t="shared" ref="T136" si="165">T134+T135</f>
        <v>-8.7311491370201111E-11</v>
      </c>
      <c r="U136" s="29"/>
      <c r="V136" s="29"/>
      <c r="W136" s="29"/>
      <c r="X136" s="29"/>
    </row>
    <row r="137" spans="1:37" hidden="1" outlineLevel="1" x14ac:dyDescent="0.3">
      <c r="C137" s="1" t="s">
        <v>126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37" s="26" customFormat="1" hidden="1" outlineLevel="2" x14ac:dyDescent="0.3">
      <c r="A138" s="33"/>
      <c r="B138" s="33"/>
      <c r="C138" s="25" t="s">
        <v>116</v>
      </c>
      <c r="E138" s="29"/>
      <c r="F138" s="29"/>
      <c r="G138" s="29">
        <v>10000000</v>
      </c>
      <c r="H138" s="29">
        <f t="shared" ref="H138:R138" si="166">G140</f>
        <v>9166666.666666666</v>
      </c>
      <c r="I138" s="29">
        <f t="shared" si="166"/>
        <v>8333333.333333333</v>
      </c>
      <c r="J138" s="29">
        <f t="shared" si="166"/>
        <v>7500000</v>
      </c>
      <c r="K138" s="29">
        <f t="shared" si="166"/>
        <v>6666666.666666667</v>
      </c>
      <c r="L138" s="29">
        <f t="shared" si="166"/>
        <v>5833333.333333334</v>
      </c>
      <c r="M138" s="29">
        <f t="shared" si="166"/>
        <v>5000000.0000000009</v>
      </c>
      <c r="N138" s="29">
        <f t="shared" si="166"/>
        <v>4166666.6666666674</v>
      </c>
      <c r="O138" s="29">
        <f t="shared" si="166"/>
        <v>3333333.333333334</v>
      </c>
      <c r="P138" s="29">
        <f t="shared" si="166"/>
        <v>2500000.0000000005</v>
      </c>
      <c r="Q138" s="29">
        <f t="shared" si="166"/>
        <v>1666666.666666667</v>
      </c>
      <c r="R138" s="29">
        <f t="shared" si="166"/>
        <v>833333.3333333336</v>
      </c>
      <c r="S138" s="29"/>
      <c r="T138" s="29"/>
      <c r="U138" s="29"/>
      <c r="V138" s="29"/>
      <c r="W138" s="29"/>
      <c r="X138" s="29"/>
    </row>
    <row r="139" spans="1:37" s="26" customFormat="1" hidden="1" outlineLevel="2" x14ac:dyDescent="0.3">
      <c r="A139" s="33"/>
      <c r="B139" s="33"/>
      <c r="C139" s="25" t="s">
        <v>117</v>
      </c>
      <c r="E139" s="29"/>
      <c r="F139" s="29"/>
      <c r="G139" s="29">
        <v>-833333.33333333337</v>
      </c>
      <c r="H139" s="29">
        <v>-833333.33333333337</v>
      </c>
      <c r="I139" s="29">
        <v>-833333.33333333337</v>
      </c>
      <c r="J139" s="29">
        <v>-833333.33333333337</v>
      </c>
      <c r="K139" s="29">
        <v>-833333.33333333337</v>
      </c>
      <c r="L139" s="29">
        <v>-833333.33333333337</v>
      </c>
      <c r="M139" s="29">
        <v>-833333.33333333337</v>
      </c>
      <c r="N139" s="29">
        <v>-833333.33333333337</v>
      </c>
      <c r="O139" s="29">
        <v>-833333.33333333337</v>
      </c>
      <c r="P139" s="29">
        <v>-833333.33333333337</v>
      </c>
      <c r="Q139" s="29">
        <v>-833333.33333333337</v>
      </c>
      <c r="R139" s="29">
        <v>-833333.33333333337</v>
      </c>
      <c r="S139" s="29"/>
      <c r="T139" s="29"/>
      <c r="U139" s="29"/>
      <c r="V139" s="29"/>
      <c r="W139" s="29"/>
      <c r="X139" s="29"/>
    </row>
    <row r="140" spans="1:37" s="26" customFormat="1" hidden="1" outlineLevel="2" x14ac:dyDescent="0.3">
      <c r="A140" s="33"/>
      <c r="B140" s="33"/>
      <c r="C140" s="25" t="s">
        <v>118</v>
      </c>
      <c r="E140" s="29"/>
      <c r="F140" s="29"/>
      <c r="G140" s="29">
        <f t="shared" ref="G140" si="167">G138+G139</f>
        <v>9166666.666666666</v>
      </c>
      <c r="H140" s="29">
        <f t="shared" ref="H140" si="168">H138+H139</f>
        <v>8333333.333333333</v>
      </c>
      <c r="I140" s="29">
        <f t="shared" ref="I140" si="169">I138+I139</f>
        <v>7500000</v>
      </c>
      <c r="J140" s="29">
        <f t="shared" ref="J140" si="170">J138+J139</f>
        <v>6666666.666666667</v>
      </c>
      <c r="K140" s="29">
        <f t="shared" ref="K140" si="171">K138+K139</f>
        <v>5833333.333333334</v>
      </c>
      <c r="L140" s="29">
        <f t="shared" ref="L140" si="172">L138+L139</f>
        <v>5000000.0000000009</v>
      </c>
      <c r="M140" s="29">
        <f t="shared" ref="M140" si="173">M138+M139</f>
        <v>4166666.6666666674</v>
      </c>
      <c r="N140" s="29">
        <f t="shared" ref="N140" si="174">N138+N139</f>
        <v>3333333.333333334</v>
      </c>
      <c r="O140" s="29">
        <f t="shared" ref="O140" si="175">O138+O139</f>
        <v>2500000.0000000005</v>
      </c>
      <c r="P140" s="29">
        <f t="shared" ref="P140" si="176">P138+P139</f>
        <v>1666666.666666667</v>
      </c>
      <c r="Q140" s="29">
        <f t="shared" ref="Q140" si="177">Q138+Q139</f>
        <v>833333.3333333336</v>
      </c>
      <c r="R140" s="29">
        <f t="shared" ref="R140" si="178">R138+R139</f>
        <v>0</v>
      </c>
      <c r="S140" s="29"/>
      <c r="T140" s="29"/>
      <c r="U140" s="29"/>
      <c r="V140" s="29"/>
      <c r="W140" s="29"/>
      <c r="X140" s="29"/>
    </row>
    <row r="141" spans="1:37" hidden="1" outlineLevel="1" x14ac:dyDescent="0.3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37" x14ac:dyDescent="0.3">
      <c r="C142" s="1" t="s">
        <v>128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x14ac:dyDescent="0.3">
      <c r="C143" s="25" t="s">
        <v>129</v>
      </c>
      <c r="E143" s="3">
        <f>SUMIFS(E$147:E$178,$C$147:$C$178,$C143)</f>
        <v>21500000</v>
      </c>
      <c r="F143" s="3">
        <f t="shared" ref="F143:AK145" si="179">SUMIFS(F$147:F$178,$C$147:$C$178,$C143)</f>
        <v>21053141</v>
      </c>
      <c r="G143" s="3">
        <f t="shared" si="179"/>
        <v>20606282</v>
      </c>
      <c r="H143" s="3">
        <f t="shared" si="179"/>
        <v>20159423</v>
      </c>
      <c r="I143" s="3">
        <f t="shared" si="179"/>
        <v>19712564</v>
      </c>
      <c r="J143" s="3">
        <f t="shared" si="179"/>
        <v>19265705</v>
      </c>
      <c r="K143" s="3">
        <f t="shared" si="179"/>
        <v>18818846</v>
      </c>
      <c r="L143" s="3">
        <f t="shared" si="179"/>
        <v>18371987</v>
      </c>
      <c r="M143" s="3">
        <f t="shared" si="179"/>
        <v>17925128</v>
      </c>
      <c r="N143" s="3">
        <f t="shared" si="179"/>
        <v>17478269</v>
      </c>
      <c r="O143" s="3">
        <f t="shared" si="179"/>
        <v>17031410</v>
      </c>
      <c r="P143" s="3">
        <f t="shared" si="179"/>
        <v>16584551</v>
      </c>
      <c r="Q143" s="3">
        <f t="shared" si="179"/>
        <v>16137692</v>
      </c>
      <c r="R143" s="3">
        <f t="shared" si="179"/>
        <v>15690833</v>
      </c>
      <c r="S143" s="3">
        <f t="shared" si="179"/>
        <v>15243974</v>
      </c>
      <c r="T143" s="3">
        <f t="shared" si="179"/>
        <v>14072180</v>
      </c>
      <c r="U143" s="3">
        <f t="shared" si="179"/>
        <v>6323264</v>
      </c>
      <c r="V143" s="3">
        <f t="shared" si="179"/>
        <v>6155968</v>
      </c>
      <c r="W143" s="3">
        <f t="shared" si="179"/>
        <v>5988672</v>
      </c>
      <c r="X143" s="3">
        <f t="shared" si="179"/>
        <v>5821376</v>
      </c>
      <c r="Y143" s="3">
        <f t="shared" si="179"/>
        <v>5654080</v>
      </c>
      <c r="Z143" s="3">
        <f t="shared" si="179"/>
        <v>5486784</v>
      </c>
      <c r="AA143" s="3">
        <f t="shared" si="179"/>
        <v>5319488</v>
      </c>
      <c r="AB143" s="3">
        <f t="shared" si="179"/>
        <v>5152192</v>
      </c>
      <c r="AC143" s="3">
        <f t="shared" si="179"/>
        <v>954120</v>
      </c>
      <c r="AD143" s="3">
        <f t="shared" si="179"/>
        <v>6925</v>
      </c>
      <c r="AE143" s="3">
        <f t="shared" si="179"/>
        <v>-52798</v>
      </c>
      <c r="AF143" s="3">
        <f t="shared" si="179"/>
        <v>-112521</v>
      </c>
      <c r="AG143" s="3">
        <f t="shared" si="179"/>
        <v>-172244</v>
      </c>
      <c r="AH143" s="3">
        <f t="shared" si="179"/>
        <v>-231967</v>
      </c>
      <c r="AI143" s="3">
        <f t="shared" si="179"/>
        <v>-291690</v>
      </c>
      <c r="AJ143" s="3">
        <f t="shared" si="179"/>
        <v>-351413</v>
      </c>
      <c r="AK143" s="3">
        <f t="shared" si="179"/>
        <v>-411136</v>
      </c>
    </row>
    <row r="144" spans="1:37" x14ac:dyDescent="0.3">
      <c r="B144" s="33" t="s">
        <v>192</v>
      </c>
      <c r="C144" s="25" t="s">
        <v>130</v>
      </c>
      <c r="E144" s="3">
        <f t="shared" ref="E144:T145" si="180">SUMIFS(E$147:E$178,$C$147:$C$178,$C144)</f>
        <v>-446859</v>
      </c>
      <c r="F144" s="3">
        <f t="shared" si="180"/>
        <v>-446859</v>
      </c>
      <c r="G144" s="3">
        <f t="shared" si="180"/>
        <v>-446859</v>
      </c>
      <c r="H144" s="3">
        <f t="shared" si="180"/>
        <v>-446859</v>
      </c>
      <c r="I144" s="3">
        <f t="shared" si="180"/>
        <v>-446859</v>
      </c>
      <c r="J144" s="3">
        <f t="shared" si="180"/>
        <v>-446859</v>
      </c>
      <c r="K144" s="3">
        <f t="shared" si="180"/>
        <v>-446859</v>
      </c>
      <c r="L144" s="3">
        <f t="shared" si="180"/>
        <v>-446859</v>
      </c>
      <c r="M144" s="3">
        <f t="shared" si="180"/>
        <v>-446859</v>
      </c>
      <c r="N144" s="3">
        <f t="shared" si="180"/>
        <v>-446859</v>
      </c>
      <c r="O144" s="3">
        <f t="shared" si="180"/>
        <v>-446859</v>
      </c>
      <c r="P144" s="3">
        <f t="shared" si="180"/>
        <v>-446859</v>
      </c>
      <c r="Q144" s="3">
        <f t="shared" si="180"/>
        <v>-446859</v>
      </c>
      <c r="R144" s="3">
        <f t="shared" si="180"/>
        <v>-446859</v>
      </c>
      <c r="S144" s="3">
        <f t="shared" si="180"/>
        <v>-446859</v>
      </c>
      <c r="T144" s="3">
        <f t="shared" si="180"/>
        <v>-395188</v>
      </c>
      <c r="U144" s="3">
        <f t="shared" si="179"/>
        <v>-167296</v>
      </c>
      <c r="V144" s="3">
        <f t="shared" si="179"/>
        <v>-167296</v>
      </c>
      <c r="W144" s="3">
        <f t="shared" si="179"/>
        <v>-167296</v>
      </c>
      <c r="X144" s="3">
        <f t="shared" si="179"/>
        <v>-167296</v>
      </c>
      <c r="Y144" s="3">
        <f t="shared" si="179"/>
        <v>-167296</v>
      </c>
      <c r="Z144" s="3">
        <f t="shared" si="179"/>
        <v>-167296</v>
      </c>
      <c r="AA144" s="3">
        <f t="shared" si="179"/>
        <v>-167296</v>
      </c>
      <c r="AB144" s="3">
        <f t="shared" si="179"/>
        <v>-167296</v>
      </c>
      <c r="AC144" s="3">
        <f t="shared" si="179"/>
        <v>-85245</v>
      </c>
      <c r="AD144" s="3">
        <f t="shared" si="179"/>
        <v>-59723</v>
      </c>
      <c r="AE144" s="3">
        <f t="shared" si="179"/>
        <v>-59723</v>
      </c>
      <c r="AF144" s="3">
        <f t="shared" si="179"/>
        <v>-59723</v>
      </c>
      <c r="AG144" s="3">
        <f t="shared" si="179"/>
        <v>-59723</v>
      </c>
      <c r="AH144" s="3">
        <f t="shared" si="179"/>
        <v>-59723</v>
      </c>
      <c r="AI144" s="3">
        <f t="shared" si="179"/>
        <v>-59723</v>
      </c>
      <c r="AJ144" s="3">
        <f t="shared" si="179"/>
        <v>-59723</v>
      </c>
      <c r="AK144" s="3">
        <f t="shared" si="179"/>
        <v>-59723</v>
      </c>
    </row>
    <row r="145" spans="1:37" x14ac:dyDescent="0.3">
      <c r="C145" s="25" t="s">
        <v>131</v>
      </c>
      <c r="E145" s="3">
        <f t="shared" si="180"/>
        <v>21053141</v>
      </c>
      <c r="F145" s="3">
        <f t="shared" si="179"/>
        <v>20606282</v>
      </c>
      <c r="G145" s="3">
        <f t="shared" si="179"/>
        <v>20159423</v>
      </c>
      <c r="H145" s="3">
        <f t="shared" si="179"/>
        <v>19712564</v>
      </c>
      <c r="I145" s="3">
        <f t="shared" si="179"/>
        <v>19265705</v>
      </c>
      <c r="J145" s="3">
        <f t="shared" si="179"/>
        <v>18818846</v>
      </c>
      <c r="K145" s="3">
        <f t="shared" si="179"/>
        <v>18371987</v>
      </c>
      <c r="L145" s="3">
        <f t="shared" si="179"/>
        <v>17925128</v>
      </c>
      <c r="M145" s="3">
        <f t="shared" si="179"/>
        <v>17478269</v>
      </c>
      <c r="N145" s="3">
        <f t="shared" si="179"/>
        <v>17031410</v>
      </c>
      <c r="O145" s="3">
        <f t="shared" si="179"/>
        <v>16584551</v>
      </c>
      <c r="P145" s="3">
        <f t="shared" si="179"/>
        <v>16137692</v>
      </c>
      <c r="Q145" s="3">
        <f t="shared" si="179"/>
        <v>15690833</v>
      </c>
      <c r="R145" s="3">
        <f t="shared" si="179"/>
        <v>15243974</v>
      </c>
      <c r="S145" s="3">
        <f t="shared" si="179"/>
        <v>14797115</v>
      </c>
      <c r="T145" s="3">
        <f t="shared" si="179"/>
        <v>13676992</v>
      </c>
      <c r="U145" s="3">
        <f t="shared" si="179"/>
        <v>6155968</v>
      </c>
      <c r="V145" s="3">
        <f t="shared" si="179"/>
        <v>5988672</v>
      </c>
      <c r="W145" s="3">
        <f t="shared" si="179"/>
        <v>5821376</v>
      </c>
      <c r="X145" s="3">
        <f t="shared" si="179"/>
        <v>5654080</v>
      </c>
      <c r="Y145" s="3">
        <f t="shared" si="179"/>
        <v>5486784</v>
      </c>
      <c r="Z145" s="3">
        <f t="shared" si="179"/>
        <v>5319488</v>
      </c>
      <c r="AA145" s="3">
        <f t="shared" si="179"/>
        <v>5152192</v>
      </c>
      <c r="AB145" s="3">
        <f t="shared" si="179"/>
        <v>4984896</v>
      </c>
      <c r="AC145" s="3">
        <f t="shared" si="179"/>
        <v>868875</v>
      </c>
      <c r="AD145" s="3">
        <f t="shared" si="179"/>
        <v>-52798</v>
      </c>
      <c r="AE145" s="3">
        <f t="shared" si="179"/>
        <v>-112521</v>
      </c>
      <c r="AF145" s="3">
        <f t="shared" si="179"/>
        <v>-172244</v>
      </c>
      <c r="AG145" s="3">
        <f t="shared" si="179"/>
        <v>-231967</v>
      </c>
      <c r="AH145" s="3">
        <f t="shared" si="179"/>
        <v>-291690</v>
      </c>
      <c r="AI145" s="3">
        <f t="shared" si="179"/>
        <v>-351413</v>
      </c>
      <c r="AJ145" s="3">
        <f t="shared" si="179"/>
        <v>-411136</v>
      </c>
      <c r="AK145" s="3">
        <f t="shared" si="179"/>
        <v>-470859</v>
      </c>
    </row>
    <row r="146" spans="1:37" collapsed="1" x14ac:dyDescent="0.3">
      <c r="C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idden="1" outlineLevel="1" x14ac:dyDescent="0.3">
      <c r="C147" s="1" t="s">
        <v>138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37" s="26" customFormat="1" hidden="1" outlineLevel="2" x14ac:dyDescent="0.3">
      <c r="A148" s="33"/>
      <c r="B148" s="33"/>
      <c r="C148" s="25" t="s">
        <v>129</v>
      </c>
      <c r="E148" s="29">
        <f>D150</f>
        <v>1500000</v>
      </c>
      <c r="F148" s="29">
        <f>E150</f>
        <v>1448329</v>
      </c>
      <c r="G148" s="29">
        <f t="shared" ref="G148:S148" si="181">F150</f>
        <v>1396658</v>
      </c>
      <c r="H148" s="29">
        <f t="shared" si="181"/>
        <v>1344987</v>
      </c>
      <c r="I148" s="29">
        <f t="shared" si="181"/>
        <v>1293316</v>
      </c>
      <c r="J148" s="29">
        <f t="shared" si="181"/>
        <v>1241645</v>
      </c>
      <c r="K148" s="29">
        <f t="shared" si="181"/>
        <v>1189974</v>
      </c>
      <c r="L148" s="29">
        <f t="shared" si="181"/>
        <v>1138303</v>
      </c>
      <c r="M148" s="29">
        <f t="shared" si="181"/>
        <v>1086632</v>
      </c>
      <c r="N148" s="29">
        <f t="shared" si="181"/>
        <v>1034961</v>
      </c>
      <c r="O148" s="29">
        <f t="shared" si="181"/>
        <v>983290</v>
      </c>
      <c r="P148" s="29">
        <f t="shared" si="181"/>
        <v>931619</v>
      </c>
      <c r="Q148" s="29">
        <f t="shared" si="181"/>
        <v>879948</v>
      </c>
      <c r="R148" s="29">
        <f t="shared" si="181"/>
        <v>828277</v>
      </c>
      <c r="S148" s="29">
        <f t="shared" si="181"/>
        <v>776606</v>
      </c>
      <c r="T148" s="29"/>
      <c r="U148" s="29"/>
      <c r="V148" s="29"/>
      <c r="W148" s="29"/>
      <c r="X148" s="29"/>
    </row>
    <row r="149" spans="1:37" s="26" customFormat="1" hidden="1" outlineLevel="2" x14ac:dyDescent="0.3">
      <c r="A149" s="33"/>
      <c r="B149" s="33"/>
      <c r="C149" s="25" t="s">
        <v>130</v>
      </c>
      <c r="E149" s="29">
        <f>-(61671-10000)</f>
        <v>-51671</v>
      </c>
      <c r="F149" s="29">
        <f t="shared" ref="F149:S149" si="182">-(61671-10000)</f>
        <v>-51671</v>
      </c>
      <c r="G149" s="29">
        <f t="shared" si="182"/>
        <v>-51671</v>
      </c>
      <c r="H149" s="29">
        <f t="shared" si="182"/>
        <v>-51671</v>
      </c>
      <c r="I149" s="29">
        <f t="shared" si="182"/>
        <v>-51671</v>
      </c>
      <c r="J149" s="29">
        <f t="shared" si="182"/>
        <v>-51671</v>
      </c>
      <c r="K149" s="29">
        <f t="shared" si="182"/>
        <v>-51671</v>
      </c>
      <c r="L149" s="29">
        <f t="shared" si="182"/>
        <v>-51671</v>
      </c>
      <c r="M149" s="29">
        <f t="shared" si="182"/>
        <v>-51671</v>
      </c>
      <c r="N149" s="29">
        <f t="shared" si="182"/>
        <v>-51671</v>
      </c>
      <c r="O149" s="29">
        <f t="shared" si="182"/>
        <v>-51671</v>
      </c>
      <c r="P149" s="29">
        <f t="shared" si="182"/>
        <v>-51671</v>
      </c>
      <c r="Q149" s="29">
        <f t="shared" si="182"/>
        <v>-51671</v>
      </c>
      <c r="R149" s="29">
        <f t="shared" si="182"/>
        <v>-51671</v>
      </c>
      <c r="S149" s="29">
        <f t="shared" si="182"/>
        <v>-51671</v>
      </c>
      <c r="T149" s="29"/>
      <c r="U149" s="29"/>
      <c r="V149" s="29"/>
      <c r="W149" s="29"/>
      <c r="X149" s="29"/>
    </row>
    <row r="150" spans="1:37" s="26" customFormat="1" hidden="1" outlineLevel="2" x14ac:dyDescent="0.3">
      <c r="A150" s="33"/>
      <c r="B150" s="33"/>
      <c r="C150" s="25" t="s">
        <v>131</v>
      </c>
      <c r="D150" s="29">
        <f>D89*60</f>
        <v>1500000</v>
      </c>
      <c r="E150" s="29">
        <f>E148+E149</f>
        <v>1448329</v>
      </c>
      <c r="F150" s="29">
        <f t="shared" ref="F150:S150" si="183">F148+F149</f>
        <v>1396658</v>
      </c>
      <c r="G150" s="29">
        <f t="shared" si="183"/>
        <v>1344987</v>
      </c>
      <c r="H150" s="29">
        <f t="shared" si="183"/>
        <v>1293316</v>
      </c>
      <c r="I150" s="29">
        <f t="shared" si="183"/>
        <v>1241645</v>
      </c>
      <c r="J150" s="29">
        <f t="shared" si="183"/>
        <v>1189974</v>
      </c>
      <c r="K150" s="29">
        <f t="shared" si="183"/>
        <v>1138303</v>
      </c>
      <c r="L150" s="29">
        <f t="shared" si="183"/>
        <v>1086632</v>
      </c>
      <c r="M150" s="29">
        <f t="shared" si="183"/>
        <v>1034961</v>
      </c>
      <c r="N150" s="29">
        <f t="shared" si="183"/>
        <v>983290</v>
      </c>
      <c r="O150" s="29">
        <f t="shared" si="183"/>
        <v>931619</v>
      </c>
      <c r="P150" s="29">
        <f t="shared" si="183"/>
        <v>879948</v>
      </c>
      <c r="Q150" s="29">
        <f t="shared" si="183"/>
        <v>828277</v>
      </c>
      <c r="R150" s="29">
        <f t="shared" si="183"/>
        <v>776606</v>
      </c>
      <c r="S150" s="29">
        <f t="shared" si="183"/>
        <v>724935</v>
      </c>
      <c r="T150" s="29"/>
      <c r="U150" s="29"/>
      <c r="V150" s="29"/>
      <c r="W150" s="29"/>
      <c r="X150" s="29"/>
    </row>
    <row r="151" spans="1:37" hidden="1" outlineLevel="1" x14ac:dyDescent="0.3">
      <c r="C151" s="1" t="s">
        <v>137</v>
      </c>
      <c r="E151" s="3"/>
    </row>
    <row r="152" spans="1:37" s="26" customFormat="1" hidden="1" outlineLevel="2" x14ac:dyDescent="0.3">
      <c r="A152" s="33"/>
      <c r="B152" s="33"/>
      <c r="C152" s="25" t="s">
        <v>129</v>
      </c>
      <c r="E152" s="29">
        <f>D154</f>
        <v>1500000</v>
      </c>
      <c r="F152" s="29">
        <f t="shared" ref="F152:AK152" si="184">E154</f>
        <v>1440277</v>
      </c>
      <c r="G152" s="29">
        <f t="shared" si="184"/>
        <v>1380554</v>
      </c>
      <c r="H152" s="29">
        <f t="shared" si="184"/>
        <v>1320831</v>
      </c>
      <c r="I152" s="29">
        <f t="shared" si="184"/>
        <v>1261108</v>
      </c>
      <c r="J152" s="29">
        <f t="shared" si="184"/>
        <v>1201385</v>
      </c>
      <c r="K152" s="29">
        <f t="shared" si="184"/>
        <v>1141662</v>
      </c>
      <c r="L152" s="29">
        <f t="shared" si="184"/>
        <v>1081939</v>
      </c>
      <c r="M152" s="29">
        <f t="shared" si="184"/>
        <v>1022216</v>
      </c>
      <c r="N152" s="29">
        <f t="shared" si="184"/>
        <v>962493</v>
      </c>
      <c r="O152" s="29">
        <f t="shared" si="184"/>
        <v>902770</v>
      </c>
      <c r="P152" s="29">
        <f t="shared" si="184"/>
        <v>843047</v>
      </c>
      <c r="Q152" s="29">
        <f t="shared" si="184"/>
        <v>783324</v>
      </c>
      <c r="R152" s="29">
        <f t="shared" si="184"/>
        <v>723601</v>
      </c>
      <c r="S152" s="29">
        <f t="shared" si="184"/>
        <v>663878</v>
      </c>
      <c r="T152" s="29">
        <f t="shared" si="184"/>
        <v>604155</v>
      </c>
      <c r="U152" s="29">
        <f t="shared" si="184"/>
        <v>544432</v>
      </c>
      <c r="V152" s="29">
        <f t="shared" si="184"/>
        <v>484709</v>
      </c>
      <c r="W152" s="29">
        <f t="shared" si="184"/>
        <v>424986</v>
      </c>
      <c r="X152" s="29">
        <f t="shared" si="184"/>
        <v>365263</v>
      </c>
      <c r="Y152" s="26">
        <f t="shared" si="184"/>
        <v>305540</v>
      </c>
      <c r="Z152" s="26">
        <f t="shared" si="184"/>
        <v>245817</v>
      </c>
      <c r="AA152" s="26">
        <f t="shared" si="184"/>
        <v>186094</v>
      </c>
      <c r="AB152" s="26">
        <f t="shared" si="184"/>
        <v>126371</v>
      </c>
      <c r="AC152" s="26">
        <f t="shared" si="184"/>
        <v>66648</v>
      </c>
      <c r="AD152" s="26">
        <f t="shared" si="184"/>
        <v>6925</v>
      </c>
      <c r="AE152" s="26">
        <f t="shared" si="184"/>
        <v>-52798</v>
      </c>
      <c r="AF152" s="26">
        <f t="shared" si="184"/>
        <v>-112521</v>
      </c>
      <c r="AG152" s="26">
        <f t="shared" si="184"/>
        <v>-172244</v>
      </c>
      <c r="AH152" s="26">
        <f t="shared" si="184"/>
        <v>-231967</v>
      </c>
      <c r="AI152" s="26">
        <f t="shared" si="184"/>
        <v>-291690</v>
      </c>
      <c r="AJ152" s="26">
        <f t="shared" si="184"/>
        <v>-351413</v>
      </c>
      <c r="AK152" s="26">
        <f t="shared" si="184"/>
        <v>-411136</v>
      </c>
    </row>
    <row r="153" spans="1:37" s="26" customFormat="1" hidden="1" outlineLevel="2" x14ac:dyDescent="0.3">
      <c r="A153" s="33"/>
      <c r="B153" s="33"/>
      <c r="C153" s="25" t="s">
        <v>130</v>
      </c>
      <c r="E153" s="29">
        <f>-(69723-10000)</f>
        <v>-59723</v>
      </c>
      <c r="F153" s="29">
        <f t="shared" ref="F153:AK153" si="185">-(69723-10000)</f>
        <v>-59723</v>
      </c>
      <c r="G153" s="29">
        <f t="shared" si="185"/>
        <v>-59723</v>
      </c>
      <c r="H153" s="29">
        <f t="shared" si="185"/>
        <v>-59723</v>
      </c>
      <c r="I153" s="29">
        <f t="shared" si="185"/>
        <v>-59723</v>
      </c>
      <c r="J153" s="29">
        <f t="shared" si="185"/>
        <v>-59723</v>
      </c>
      <c r="K153" s="29">
        <f t="shared" si="185"/>
        <v>-59723</v>
      </c>
      <c r="L153" s="29">
        <f t="shared" si="185"/>
        <v>-59723</v>
      </c>
      <c r="M153" s="29">
        <f t="shared" si="185"/>
        <v>-59723</v>
      </c>
      <c r="N153" s="29">
        <f t="shared" si="185"/>
        <v>-59723</v>
      </c>
      <c r="O153" s="29">
        <f t="shared" si="185"/>
        <v>-59723</v>
      </c>
      <c r="P153" s="29">
        <f t="shared" si="185"/>
        <v>-59723</v>
      </c>
      <c r="Q153" s="29">
        <f t="shared" si="185"/>
        <v>-59723</v>
      </c>
      <c r="R153" s="29">
        <f t="shared" si="185"/>
        <v>-59723</v>
      </c>
      <c r="S153" s="29">
        <f t="shared" si="185"/>
        <v>-59723</v>
      </c>
      <c r="T153" s="29">
        <f t="shared" si="185"/>
        <v>-59723</v>
      </c>
      <c r="U153" s="29">
        <f t="shared" si="185"/>
        <v>-59723</v>
      </c>
      <c r="V153" s="29">
        <f t="shared" si="185"/>
        <v>-59723</v>
      </c>
      <c r="W153" s="29">
        <f t="shared" si="185"/>
        <v>-59723</v>
      </c>
      <c r="X153" s="29">
        <f t="shared" si="185"/>
        <v>-59723</v>
      </c>
      <c r="Y153" s="26">
        <f t="shared" si="185"/>
        <v>-59723</v>
      </c>
      <c r="Z153" s="26">
        <f t="shared" si="185"/>
        <v>-59723</v>
      </c>
      <c r="AA153" s="26">
        <f t="shared" si="185"/>
        <v>-59723</v>
      </c>
      <c r="AB153" s="26">
        <f t="shared" si="185"/>
        <v>-59723</v>
      </c>
      <c r="AC153" s="26">
        <f t="shared" si="185"/>
        <v>-59723</v>
      </c>
      <c r="AD153" s="26">
        <f t="shared" si="185"/>
        <v>-59723</v>
      </c>
      <c r="AE153" s="26">
        <f t="shared" si="185"/>
        <v>-59723</v>
      </c>
      <c r="AF153" s="26">
        <f t="shared" si="185"/>
        <v>-59723</v>
      </c>
      <c r="AG153" s="26">
        <f t="shared" si="185"/>
        <v>-59723</v>
      </c>
      <c r="AH153" s="26">
        <f t="shared" si="185"/>
        <v>-59723</v>
      </c>
      <c r="AI153" s="26">
        <f t="shared" si="185"/>
        <v>-59723</v>
      </c>
      <c r="AJ153" s="26">
        <f t="shared" si="185"/>
        <v>-59723</v>
      </c>
      <c r="AK153" s="26">
        <f t="shared" si="185"/>
        <v>-59723</v>
      </c>
    </row>
    <row r="154" spans="1:37" s="26" customFormat="1" hidden="1" outlineLevel="2" x14ac:dyDescent="0.3">
      <c r="A154" s="33"/>
      <c r="B154" s="33"/>
      <c r="C154" s="25" t="s">
        <v>131</v>
      </c>
      <c r="D154" s="29">
        <f>D90*60</f>
        <v>1500000</v>
      </c>
      <c r="E154" s="29">
        <f t="shared" ref="E154" si="186">E152+E153</f>
        <v>1440277</v>
      </c>
      <c r="F154" s="29">
        <f t="shared" ref="F154" si="187">F152+F153</f>
        <v>1380554</v>
      </c>
      <c r="G154" s="29">
        <f t="shared" ref="G154" si="188">G152+G153</f>
        <v>1320831</v>
      </c>
      <c r="H154" s="29">
        <f t="shared" ref="H154" si="189">H152+H153</f>
        <v>1261108</v>
      </c>
      <c r="I154" s="29">
        <f t="shared" ref="I154" si="190">I152+I153</f>
        <v>1201385</v>
      </c>
      <c r="J154" s="29">
        <f t="shared" ref="J154" si="191">J152+J153</f>
        <v>1141662</v>
      </c>
      <c r="K154" s="29">
        <f t="shared" ref="K154" si="192">K152+K153</f>
        <v>1081939</v>
      </c>
      <c r="L154" s="29">
        <f t="shared" ref="L154" si="193">L152+L153</f>
        <v>1022216</v>
      </c>
      <c r="M154" s="29">
        <f t="shared" ref="M154" si="194">M152+M153</f>
        <v>962493</v>
      </c>
      <c r="N154" s="29">
        <f t="shared" ref="N154" si="195">N152+N153</f>
        <v>902770</v>
      </c>
      <c r="O154" s="29">
        <f t="shared" ref="O154" si="196">O152+O153</f>
        <v>843047</v>
      </c>
      <c r="P154" s="29">
        <f t="shared" ref="P154" si="197">P152+P153</f>
        <v>783324</v>
      </c>
      <c r="Q154" s="29">
        <f t="shared" ref="Q154" si="198">Q152+Q153</f>
        <v>723601</v>
      </c>
      <c r="R154" s="29">
        <f t="shared" ref="R154" si="199">R152+R153</f>
        <v>663878</v>
      </c>
      <c r="S154" s="29">
        <f t="shared" ref="S154" si="200">S152+S153</f>
        <v>604155</v>
      </c>
      <c r="T154" s="29">
        <f t="shared" ref="T154" si="201">T152+T153</f>
        <v>544432</v>
      </c>
      <c r="U154" s="29">
        <f t="shared" ref="U154" si="202">U152+U153</f>
        <v>484709</v>
      </c>
      <c r="V154" s="29">
        <f t="shared" ref="V154" si="203">V152+V153</f>
        <v>424986</v>
      </c>
      <c r="W154" s="29">
        <f t="shared" ref="W154" si="204">W152+W153</f>
        <v>365263</v>
      </c>
      <c r="X154" s="29">
        <f t="shared" ref="X154" si="205">X152+X153</f>
        <v>305540</v>
      </c>
      <c r="Y154" s="26">
        <f t="shared" ref="Y154" si="206">Y152+Y153</f>
        <v>245817</v>
      </c>
      <c r="Z154" s="26">
        <f t="shared" ref="Z154" si="207">Z152+Z153</f>
        <v>186094</v>
      </c>
      <c r="AA154" s="26">
        <f t="shared" ref="AA154" si="208">AA152+AA153</f>
        <v>126371</v>
      </c>
      <c r="AB154" s="26">
        <f t="shared" ref="AB154" si="209">AB152+AB153</f>
        <v>66648</v>
      </c>
      <c r="AC154" s="26">
        <f t="shared" ref="AC154" si="210">AC152+AC153</f>
        <v>6925</v>
      </c>
      <c r="AD154" s="26">
        <f t="shared" ref="AD154" si="211">AD152+AD153</f>
        <v>-52798</v>
      </c>
      <c r="AE154" s="26">
        <f t="shared" ref="AE154" si="212">AE152+AE153</f>
        <v>-112521</v>
      </c>
      <c r="AF154" s="26">
        <f t="shared" ref="AF154" si="213">AF152+AF153</f>
        <v>-172244</v>
      </c>
      <c r="AG154" s="26">
        <f t="shared" ref="AG154" si="214">AG152+AG153</f>
        <v>-231967</v>
      </c>
      <c r="AH154" s="26">
        <f t="shared" ref="AH154" si="215">AH152+AH153</f>
        <v>-291690</v>
      </c>
      <c r="AI154" s="26">
        <f t="shared" ref="AI154" si="216">AI152+AI153</f>
        <v>-351413</v>
      </c>
      <c r="AJ154" s="26">
        <f t="shared" ref="AJ154" si="217">AJ152+AJ153</f>
        <v>-411136</v>
      </c>
      <c r="AK154" s="26">
        <f t="shared" ref="AK154" si="218">AK152+AK153</f>
        <v>-470859</v>
      </c>
    </row>
    <row r="155" spans="1:37" hidden="1" outlineLevel="1" x14ac:dyDescent="0.3">
      <c r="C155" s="1" t="s">
        <v>136</v>
      </c>
      <c r="E155" s="3"/>
    </row>
    <row r="156" spans="1:37" s="26" customFormat="1" hidden="1" outlineLevel="2" x14ac:dyDescent="0.3">
      <c r="A156" s="33"/>
      <c r="B156" s="33"/>
      <c r="C156" s="25" t="s">
        <v>129</v>
      </c>
      <c r="E156" s="29">
        <f>D158</f>
        <v>1500000</v>
      </c>
      <c r="F156" s="29">
        <f t="shared" ref="F156:AC156" si="219">E158</f>
        <v>1474478</v>
      </c>
      <c r="G156" s="29">
        <f t="shared" si="219"/>
        <v>1448956</v>
      </c>
      <c r="H156" s="29">
        <f t="shared" si="219"/>
        <v>1423434</v>
      </c>
      <c r="I156" s="29">
        <f t="shared" si="219"/>
        <v>1397912</v>
      </c>
      <c r="J156" s="29">
        <f t="shared" si="219"/>
        <v>1372390</v>
      </c>
      <c r="K156" s="29">
        <f t="shared" si="219"/>
        <v>1346868</v>
      </c>
      <c r="L156" s="29">
        <f t="shared" si="219"/>
        <v>1321346</v>
      </c>
      <c r="M156" s="29">
        <f t="shared" si="219"/>
        <v>1295824</v>
      </c>
      <c r="N156" s="29">
        <f t="shared" si="219"/>
        <v>1270302</v>
      </c>
      <c r="O156" s="29">
        <f t="shared" si="219"/>
        <v>1244780</v>
      </c>
      <c r="P156" s="29">
        <f t="shared" si="219"/>
        <v>1219258</v>
      </c>
      <c r="Q156" s="29">
        <f t="shared" si="219"/>
        <v>1193736</v>
      </c>
      <c r="R156" s="29">
        <f t="shared" si="219"/>
        <v>1168214</v>
      </c>
      <c r="S156" s="29">
        <f t="shared" si="219"/>
        <v>1142692</v>
      </c>
      <c r="T156" s="29">
        <f t="shared" si="219"/>
        <v>1117170</v>
      </c>
      <c r="U156" s="29">
        <f t="shared" si="219"/>
        <v>1091648</v>
      </c>
      <c r="V156" s="29">
        <f t="shared" si="219"/>
        <v>1066126</v>
      </c>
      <c r="W156" s="29">
        <f t="shared" si="219"/>
        <v>1040604</v>
      </c>
      <c r="X156" s="29">
        <f t="shared" si="219"/>
        <v>1015082</v>
      </c>
      <c r="Y156" s="26">
        <f t="shared" si="219"/>
        <v>989560</v>
      </c>
      <c r="Z156" s="26">
        <f t="shared" si="219"/>
        <v>964038</v>
      </c>
      <c r="AA156" s="26">
        <f t="shared" si="219"/>
        <v>938516</v>
      </c>
      <c r="AB156" s="26">
        <f t="shared" si="219"/>
        <v>912994</v>
      </c>
      <c r="AC156" s="26">
        <f t="shared" si="219"/>
        <v>887472</v>
      </c>
    </row>
    <row r="157" spans="1:37" s="26" customFormat="1" hidden="1" outlineLevel="2" x14ac:dyDescent="0.3">
      <c r="A157" s="33"/>
      <c r="B157" s="33"/>
      <c r="C157" s="25" t="s">
        <v>130</v>
      </c>
      <c r="E157" s="29">
        <f>-(30522-5000)</f>
        <v>-25522</v>
      </c>
      <c r="F157" s="29">
        <f t="shared" ref="F157:AC157" si="220">-(30522-5000)</f>
        <v>-25522</v>
      </c>
      <c r="G157" s="29">
        <f t="shared" si="220"/>
        <v>-25522</v>
      </c>
      <c r="H157" s="29">
        <f t="shared" si="220"/>
        <v>-25522</v>
      </c>
      <c r="I157" s="29">
        <f t="shared" si="220"/>
        <v>-25522</v>
      </c>
      <c r="J157" s="29">
        <f t="shared" si="220"/>
        <v>-25522</v>
      </c>
      <c r="K157" s="29">
        <f t="shared" si="220"/>
        <v>-25522</v>
      </c>
      <c r="L157" s="29">
        <f t="shared" si="220"/>
        <v>-25522</v>
      </c>
      <c r="M157" s="29">
        <f t="shared" si="220"/>
        <v>-25522</v>
      </c>
      <c r="N157" s="29">
        <f t="shared" si="220"/>
        <v>-25522</v>
      </c>
      <c r="O157" s="29">
        <f t="shared" si="220"/>
        <v>-25522</v>
      </c>
      <c r="P157" s="29">
        <f t="shared" si="220"/>
        <v>-25522</v>
      </c>
      <c r="Q157" s="29">
        <f t="shared" si="220"/>
        <v>-25522</v>
      </c>
      <c r="R157" s="29">
        <f t="shared" si="220"/>
        <v>-25522</v>
      </c>
      <c r="S157" s="29">
        <f t="shared" si="220"/>
        <v>-25522</v>
      </c>
      <c r="T157" s="29">
        <f t="shared" si="220"/>
        <v>-25522</v>
      </c>
      <c r="U157" s="29">
        <f t="shared" si="220"/>
        <v>-25522</v>
      </c>
      <c r="V157" s="29">
        <f t="shared" si="220"/>
        <v>-25522</v>
      </c>
      <c r="W157" s="29">
        <f t="shared" si="220"/>
        <v>-25522</v>
      </c>
      <c r="X157" s="29">
        <f t="shared" si="220"/>
        <v>-25522</v>
      </c>
      <c r="Y157" s="26">
        <f t="shared" si="220"/>
        <v>-25522</v>
      </c>
      <c r="Z157" s="26">
        <f t="shared" si="220"/>
        <v>-25522</v>
      </c>
      <c r="AA157" s="26">
        <f t="shared" si="220"/>
        <v>-25522</v>
      </c>
      <c r="AB157" s="26">
        <f t="shared" si="220"/>
        <v>-25522</v>
      </c>
      <c r="AC157" s="26">
        <f t="shared" si="220"/>
        <v>-25522</v>
      </c>
    </row>
    <row r="158" spans="1:37" s="26" customFormat="1" hidden="1" outlineLevel="2" x14ac:dyDescent="0.3">
      <c r="A158" s="33"/>
      <c r="B158" s="33"/>
      <c r="C158" s="25" t="s">
        <v>131</v>
      </c>
      <c r="D158" s="29">
        <f>D91*60</f>
        <v>1500000</v>
      </c>
      <c r="E158" s="29">
        <f t="shared" ref="E158" si="221">E156+E157</f>
        <v>1474478</v>
      </c>
      <c r="F158" s="29">
        <f t="shared" ref="F158" si="222">F156+F157</f>
        <v>1448956</v>
      </c>
      <c r="G158" s="29">
        <f t="shared" ref="G158" si="223">G156+G157</f>
        <v>1423434</v>
      </c>
      <c r="H158" s="29">
        <f t="shared" ref="H158" si="224">H156+H157</f>
        <v>1397912</v>
      </c>
      <c r="I158" s="29">
        <f t="shared" ref="I158" si="225">I156+I157</f>
        <v>1372390</v>
      </c>
      <c r="J158" s="29">
        <f t="shared" ref="J158" si="226">J156+J157</f>
        <v>1346868</v>
      </c>
      <c r="K158" s="29">
        <f t="shared" ref="K158" si="227">K156+K157</f>
        <v>1321346</v>
      </c>
      <c r="L158" s="29">
        <f t="shared" ref="L158" si="228">L156+L157</f>
        <v>1295824</v>
      </c>
      <c r="M158" s="29">
        <f t="shared" ref="M158" si="229">M156+M157</f>
        <v>1270302</v>
      </c>
      <c r="N158" s="29">
        <f t="shared" ref="N158" si="230">N156+N157</f>
        <v>1244780</v>
      </c>
      <c r="O158" s="29">
        <f t="shared" ref="O158" si="231">O156+O157</f>
        <v>1219258</v>
      </c>
      <c r="P158" s="29">
        <f t="shared" ref="P158" si="232">P156+P157</f>
        <v>1193736</v>
      </c>
      <c r="Q158" s="29">
        <f t="shared" ref="Q158" si="233">Q156+Q157</f>
        <v>1168214</v>
      </c>
      <c r="R158" s="29">
        <f t="shared" ref="R158" si="234">R156+R157</f>
        <v>1142692</v>
      </c>
      <c r="S158" s="29">
        <f t="shared" ref="S158" si="235">S156+S157</f>
        <v>1117170</v>
      </c>
      <c r="T158" s="29">
        <f t="shared" ref="T158" si="236">T156+T157</f>
        <v>1091648</v>
      </c>
      <c r="U158" s="29">
        <f t="shared" ref="U158" si="237">U156+U157</f>
        <v>1066126</v>
      </c>
      <c r="V158" s="29">
        <f t="shared" ref="V158" si="238">V156+V157</f>
        <v>1040604</v>
      </c>
      <c r="W158" s="29">
        <f t="shared" ref="W158" si="239">W156+W157</f>
        <v>1015082</v>
      </c>
      <c r="X158" s="29">
        <f t="shared" ref="X158" si="240">X156+X157</f>
        <v>989560</v>
      </c>
      <c r="Y158" s="26">
        <f t="shared" ref="Y158" si="241">Y156+Y157</f>
        <v>964038</v>
      </c>
      <c r="Z158" s="26">
        <f t="shared" ref="Z158" si="242">Z156+Z157</f>
        <v>938516</v>
      </c>
      <c r="AA158" s="26">
        <f t="shared" ref="AA158" si="243">AA156+AA157</f>
        <v>912994</v>
      </c>
      <c r="AB158" s="26">
        <f t="shared" ref="AB158" si="244">AB156+AB157</f>
        <v>887472</v>
      </c>
      <c r="AC158" s="26">
        <f t="shared" ref="AC158" si="245">AC156+AC157</f>
        <v>861950</v>
      </c>
    </row>
    <row r="159" spans="1:37" hidden="1" outlineLevel="1" x14ac:dyDescent="0.3">
      <c r="C159" s="1" t="s">
        <v>135</v>
      </c>
      <c r="E159" s="3"/>
    </row>
    <row r="160" spans="1:37" s="26" customFormat="1" hidden="1" outlineLevel="2" x14ac:dyDescent="0.3">
      <c r="A160" s="33"/>
      <c r="B160" s="33"/>
      <c r="C160" s="25" t="s">
        <v>129</v>
      </c>
      <c r="E160" s="29">
        <f>D162</f>
        <v>6000000</v>
      </c>
      <c r="F160" s="29">
        <f t="shared" ref="F160:AB160" si="246">E162</f>
        <v>5917949</v>
      </c>
      <c r="G160" s="29">
        <f t="shared" si="246"/>
        <v>5835898</v>
      </c>
      <c r="H160" s="29">
        <f t="shared" si="246"/>
        <v>5753847</v>
      </c>
      <c r="I160" s="29">
        <f t="shared" si="246"/>
        <v>5671796</v>
      </c>
      <c r="J160" s="29">
        <f t="shared" si="246"/>
        <v>5589745</v>
      </c>
      <c r="K160" s="29">
        <f t="shared" si="246"/>
        <v>5507694</v>
      </c>
      <c r="L160" s="29">
        <f t="shared" si="246"/>
        <v>5425643</v>
      </c>
      <c r="M160" s="29">
        <f t="shared" si="246"/>
        <v>5343592</v>
      </c>
      <c r="N160" s="29">
        <f t="shared" si="246"/>
        <v>5261541</v>
      </c>
      <c r="O160" s="29">
        <f t="shared" si="246"/>
        <v>5179490</v>
      </c>
      <c r="P160" s="29">
        <f t="shared" si="246"/>
        <v>5097439</v>
      </c>
      <c r="Q160" s="29">
        <f t="shared" si="246"/>
        <v>5015388</v>
      </c>
      <c r="R160" s="29">
        <f t="shared" si="246"/>
        <v>4933337</v>
      </c>
      <c r="S160" s="29">
        <f t="shared" si="246"/>
        <v>4851286</v>
      </c>
      <c r="T160" s="29">
        <f t="shared" si="246"/>
        <v>4769235</v>
      </c>
      <c r="U160" s="29">
        <f t="shared" si="246"/>
        <v>4687184</v>
      </c>
      <c r="V160" s="29">
        <f t="shared" si="246"/>
        <v>4605133</v>
      </c>
      <c r="W160" s="29">
        <f t="shared" si="246"/>
        <v>4523082</v>
      </c>
      <c r="X160" s="29">
        <f t="shared" si="246"/>
        <v>4441031</v>
      </c>
      <c r="Y160" s="26">
        <f t="shared" si="246"/>
        <v>4358980</v>
      </c>
      <c r="Z160" s="26">
        <f t="shared" si="246"/>
        <v>4276929</v>
      </c>
      <c r="AA160" s="26">
        <f t="shared" si="246"/>
        <v>4194878</v>
      </c>
      <c r="AB160" s="26">
        <f t="shared" si="246"/>
        <v>4112827</v>
      </c>
    </row>
    <row r="161" spans="1:28" s="26" customFormat="1" hidden="1" outlineLevel="2" x14ac:dyDescent="0.3">
      <c r="A161" s="33"/>
      <c r="B161" s="33"/>
      <c r="C161" s="25" t="s">
        <v>130</v>
      </c>
      <c r="E161" s="29">
        <f>-(97051-15000)</f>
        <v>-82051</v>
      </c>
      <c r="F161" s="29">
        <f t="shared" ref="F161:AB161" si="247">-(97051-15000)</f>
        <v>-82051</v>
      </c>
      <c r="G161" s="29">
        <f t="shared" si="247"/>
        <v>-82051</v>
      </c>
      <c r="H161" s="29">
        <f t="shared" si="247"/>
        <v>-82051</v>
      </c>
      <c r="I161" s="29">
        <f t="shared" si="247"/>
        <v>-82051</v>
      </c>
      <c r="J161" s="29">
        <f t="shared" si="247"/>
        <v>-82051</v>
      </c>
      <c r="K161" s="29">
        <f t="shared" si="247"/>
        <v>-82051</v>
      </c>
      <c r="L161" s="29">
        <f t="shared" si="247"/>
        <v>-82051</v>
      </c>
      <c r="M161" s="29">
        <f t="shared" si="247"/>
        <v>-82051</v>
      </c>
      <c r="N161" s="29">
        <f t="shared" si="247"/>
        <v>-82051</v>
      </c>
      <c r="O161" s="29">
        <f t="shared" si="247"/>
        <v>-82051</v>
      </c>
      <c r="P161" s="29">
        <f t="shared" si="247"/>
        <v>-82051</v>
      </c>
      <c r="Q161" s="29">
        <f t="shared" si="247"/>
        <v>-82051</v>
      </c>
      <c r="R161" s="29">
        <f t="shared" si="247"/>
        <v>-82051</v>
      </c>
      <c r="S161" s="29">
        <f t="shared" si="247"/>
        <v>-82051</v>
      </c>
      <c r="T161" s="29">
        <f t="shared" si="247"/>
        <v>-82051</v>
      </c>
      <c r="U161" s="29">
        <f t="shared" si="247"/>
        <v>-82051</v>
      </c>
      <c r="V161" s="29">
        <f t="shared" si="247"/>
        <v>-82051</v>
      </c>
      <c r="W161" s="29">
        <f t="shared" si="247"/>
        <v>-82051</v>
      </c>
      <c r="X161" s="29">
        <f t="shared" si="247"/>
        <v>-82051</v>
      </c>
      <c r="Y161" s="26">
        <f t="shared" si="247"/>
        <v>-82051</v>
      </c>
      <c r="Z161" s="26">
        <f t="shared" si="247"/>
        <v>-82051</v>
      </c>
      <c r="AA161" s="26">
        <f t="shared" si="247"/>
        <v>-82051</v>
      </c>
      <c r="AB161" s="26">
        <f t="shared" si="247"/>
        <v>-82051</v>
      </c>
    </row>
    <row r="162" spans="1:28" s="26" customFormat="1" hidden="1" outlineLevel="2" x14ac:dyDescent="0.3">
      <c r="A162" s="33"/>
      <c r="B162" s="33"/>
      <c r="C162" s="25" t="s">
        <v>131</v>
      </c>
      <c r="D162" s="29">
        <f>D92*60</f>
        <v>6000000</v>
      </c>
      <c r="E162" s="29">
        <f t="shared" ref="E162" si="248">E160+E161</f>
        <v>5917949</v>
      </c>
      <c r="F162" s="29">
        <f t="shared" ref="F162" si="249">F160+F161</f>
        <v>5835898</v>
      </c>
      <c r="G162" s="29">
        <f t="shared" ref="G162" si="250">G160+G161</f>
        <v>5753847</v>
      </c>
      <c r="H162" s="29">
        <f t="shared" ref="H162" si="251">H160+H161</f>
        <v>5671796</v>
      </c>
      <c r="I162" s="29">
        <f t="shared" ref="I162" si="252">I160+I161</f>
        <v>5589745</v>
      </c>
      <c r="J162" s="29">
        <f t="shared" ref="J162" si="253">J160+J161</f>
        <v>5507694</v>
      </c>
      <c r="K162" s="29">
        <f t="shared" ref="K162" si="254">K160+K161</f>
        <v>5425643</v>
      </c>
      <c r="L162" s="29">
        <f t="shared" ref="L162" si="255">L160+L161</f>
        <v>5343592</v>
      </c>
      <c r="M162" s="29">
        <f t="shared" ref="M162" si="256">M160+M161</f>
        <v>5261541</v>
      </c>
      <c r="N162" s="29">
        <f t="shared" ref="N162" si="257">N160+N161</f>
        <v>5179490</v>
      </c>
      <c r="O162" s="29">
        <f t="shared" ref="O162" si="258">O160+O161</f>
        <v>5097439</v>
      </c>
      <c r="P162" s="29">
        <f t="shared" ref="P162" si="259">P160+P161</f>
        <v>5015388</v>
      </c>
      <c r="Q162" s="29">
        <f t="shared" ref="Q162" si="260">Q160+Q161</f>
        <v>4933337</v>
      </c>
      <c r="R162" s="29">
        <f t="shared" ref="R162" si="261">R160+R161</f>
        <v>4851286</v>
      </c>
      <c r="S162" s="29">
        <f t="shared" ref="S162" si="262">S160+S161</f>
        <v>4769235</v>
      </c>
      <c r="T162" s="29">
        <f t="shared" ref="T162" si="263">T160+T161</f>
        <v>4687184</v>
      </c>
      <c r="U162" s="29">
        <f t="shared" ref="U162" si="264">U160+U161</f>
        <v>4605133</v>
      </c>
      <c r="V162" s="29">
        <f t="shared" ref="V162" si="265">V160+V161</f>
        <v>4523082</v>
      </c>
      <c r="W162" s="29">
        <f t="shared" ref="W162" si="266">W160+W161</f>
        <v>4441031</v>
      </c>
      <c r="X162" s="29">
        <f t="shared" ref="X162" si="267">X160+X161</f>
        <v>4358980</v>
      </c>
      <c r="Y162" s="26">
        <f t="shared" ref="Y162" si="268">Y160+Y161</f>
        <v>4276929</v>
      </c>
      <c r="Z162" s="26">
        <f t="shared" ref="Z162" si="269">Z160+Z161</f>
        <v>4194878</v>
      </c>
      <c r="AA162" s="26">
        <f t="shared" ref="AA162" si="270">AA160+AA161</f>
        <v>4112827</v>
      </c>
      <c r="AB162" s="26">
        <f t="shared" ref="AB162" si="271">AB160+AB161</f>
        <v>4030776</v>
      </c>
    </row>
    <row r="163" spans="1:28" hidden="1" outlineLevel="1" x14ac:dyDescent="0.3">
      <c r="C163" s="1" t="s">
        <v>134</v>
      </c>
      <c r="E163" s="3"/>
    </row>
    <row r="164" spans="1:28" s="26" customFormat="1" hidden="1" outlineLevel="2" x14ac:dyDescent="0.3">
      <c r="A164" s="33"/>
      <c r="B164" s="33"/>
      <c r="C164" s="25" t="s">
        <v>129</v>
      </c>
      <c r="E164" s="29">
        <f>D166</f>
        <v>6000000</v>
      </c>
      <c r="F164" s="29">
        <f t="shared" ref="F164:T164" si="272">E166</f>
        <v>5915019</v>
      </c>
      <c r="G164" s="29">
        <f t="shared" si="272"/>
        <v>5830038</v>
      </c>
      <c r="H164" s="29">
        <f t="shared" si="272"/>
        <v>5745057</v>
      </c>
      <c r="I164" s="29">
        <f t="shared" si="272"/>
        <v>5660076</v>
      </c>
      <c r="J164" s="29">
        <f t="shared" si="272"/>
        <v>5575095</v>
      </c>
      <c r="K164" s="29">
        <f t="shared" si="272"/>
        <v>5490114</v>
      </c>
      <c r="L164" s="29">
        <f t="shared" si="272"/>
        <v>5405133</v>
      </c>
      <c r="M164" s="29">
        <f t="shared" si="272"/>
        <v>5320152</v>
      </c>
      <c r="N164" s="29">
        <f t="shared" si="272"/>
        <v>5235171</v>
      </c>
      <c r="O164" s="29">
        <f t="shared" si="272"/>
        <v>5150190</v>
      </c>
      <c r="P164" s="29">
        <f t="shared" si="272"/>
        <v>5065209</v>
      </c>
      <c r="Q164" s="29">
        <f t="shared" si="272"/>
        <v>4980228</v>
      </c>
      <c r="R164" s="29">
        <f t="shared" si="272"/>
        <v>4895247</v>
      </c>
      <c r="S164" s="29">
        <f t="shared" si="272"/>
        <v>4810266</v>
      </c>
      <c r="T164" s="29">
        <f t="shared" si="272"/>
        <v>4725285</v>
      </c>
      <c r="U164" s="29"/>
      <c r="V164" s="29"/>
      <c r="W164" s="29"/>
      <c r="X164" s="29"/>
    </row>
    <row r="165" spans="1:28" s="26" customFormat="1" hidden="1" outlineLevel="2" x14ac:dyDescent="0.3">
      <c r="A165" s="33"/>
      <c r="B165" s="33"/>
      <c r="C165" s="25" t="s">
        <v>130</v>
      </c>
      <c r="E165" s="29">
        <f>-(104981-20000)</f>
        <v>-84981</v>
      </c>
      <c r="F165" s="29">
        <f t="shared" ref="F165:T165" si="273">-(104981-20000)</f>
        <v>-84981</v>
      </c>
      <c r="G165" s="29">
        <f t="shared" si="273"/>
        <v>-84981</v>
      </c>
      <c r="H165" s="29">
        <f t="shared" si="273"/>
        <v>-84981</v>
      </c>
      <c r="I165" s="29">
        <f t="shared" si="273"/>
        <v>-84981</v>
      </c>
      <c r="J165" s="29">
        <f t="shared" si="273"/>
        <v>-84981</v>
      </c>
      <c r="K165" s="29">
        <f t="shared" si="273"/>
        <v>-84981</v>
      </c>
      <c r="L165" s="29">
        <f t="shared" si="273"/>
        <v>-84981</v>
      </c>
      <c r="M165" s="29">
        <f t="shared" si="273"/>
        <v>-84981</v>
      </c>
      <c r="N165" s="29">
        <f t="shared" si="273"/>
        <v>-84981</v>
      </c>
      <c r="O165" s="29">
        <f t="shared" si="273"/>
        <v>-84981</v>
      </c>
      <c r="P165" s="29">
        <f t="shared" si="273"/>
        <v>-84981</v>
      </c>
      <c r="Q165" s="29">
        <f t="shared" si="273"/>
        <v>-84981</v>
      </c>
      <c r="R165" s="29">
        <f t="shared" si="273"/>
        <v>-84981</v>
      </c>
      <c r="S165" s="29">
        <f t="shared" si="273"/>
        <v>-84981</v>
      </c>
      <c r="T165" s="29">
        <f t="shared" si="273"/>
        <v>-84981</v>
      </c>
      <c r="U165" s="29"/>
      <c r="V165" s="29"/>
      <c r="W165" s="29"/>
      <c r="X165" s="29"/>
    </row>
    <row r="166" spans="1:28" s="26" customFormat="1" hidden="1" outlineLevel="2" x14ac:dyDescent="0.3">
      <c r="A166" s="33"/>
      <c r="B166" s="33"/>
      <c r="C166" s="25" t="s">
        <v>131</v>
      </c>
      <c r="D166" s="29">
        <f>D93*60</f>
        <v>6000000</v>
      </c>
      <c r="E166" s="29">
        <f t="shared" ref="E166" si="274">E164+E165</f>
        <v>5915019</v>
      </c>
      <c r="F166" s="29">
        <f t="shared" ref="F166" si="275">F164+F165</f>
        <v>5830038</v>
      </c>
      <c r="G166" s="29">
        <f t="shared" ref="G166" si="276">G164+G165</f>
        <v>5745057</v>
      </c>
      <c r="H166" s="29">
        <f t="shared" ref="H166" si="277">H164+H165</f>
        <v>5660076</v>
      </c>
      <c r="I166" s="29">
        <f t="shared" ref="I166" si="278">I164+I165</f>
        <v>5575095</v>
      </c>
      <c r="J166" s="29">
        <f t="shared" ref="J166" si="279">J164+J165</f>
        <v>5490114</v>
      </c>
      <c r="K166" s="29">
        <f t="shared" ref="K166" si="280">K164+K165</f>
        <v>5405133</v>
      </c>
      <c r="L166" s="29">
        <f t="shared" ref="L166" si="281">L164+L165</f>
        <v>5320152</v>
      </c>
      <c r="M166" s="29">
        <f t="shared" ref="M166" si="282">M164+M165</f>
        <v>5235171</v>
      </c>
      <c r="N166" s="29">
        <f t="shared" ref="N166" si="283">N164+N165</f>
        <v>5150190</v>
      </c>
      <c r="O166" s="29">
        <f t="shared" ref="O166" si="284">O164+O165</f>
        <v>5065209</v>
      </c>
      <c r="P166" s="29">
        <f t="shared" ref="P166" si="285">P164+P165</f>
        <v>4980228</v>
      </c>
      <c r="Q166" s="29">
        <f t="shared" ref="Q166" si="286">Q164+Q165</f>
        <v>4895247</v>
      </c>
      <c r="R166" s="29">
        <f t="shared" ref="R166" si="287">R164+R165</f>
        <v>4810266</v>
      </c>
      <c r="S166" s="29">
        <f t="shared" ref="S166" si="288">S164+S165</f>
        <v>4725285</v>
      </c>
      <c r="T166" s="29">
        <f t="shared" ref="T166" si="289">T164+T165</f>
        <v>4640304</v>
      </c>
      <c r="U166" s="29"/>
      <c r="V166" s="29"/>
      <c r="W166" s="29"/>
      <c r="X166" s="29"/>
    </row>
    <row r="167" spans="1:28" hidden="1" outlineLevel="1" x14ac:dyDescent="0.3">
      <c r="C167" s="1" t="s">
        <v>133</v>
      </c>
      <c r="E167" s="3"/>
    </row>
    <row r="168" spans="1:28" s="26" customFormat="1" hidden="1" outlineLevel="2" x14ac:dyDescent="0.3">
      <c r="A168" s="33"/>
      <c r="B168" s="33"/>
      <c r="C168" s="25" t="s">
        <v>129</v>
      </c>
      <c r="E168" s="29">
        <f>D170</f>
        <v>3000000</v>
      </c>
      <c r="F168" s="29">
        <f t="shared" ref="F168:T168" si="290">E170</f>
        <v>2918984</v>
      </c>
      <c r="G168" s="29">
        <f t="shared" si="290"/>
        <v>2837968</v>
      </c>
      <c r="H168" s="29">
        <f t="shared" si="290"/>
        <v>2756952</v>
      </c>
      <c r="I168" s="29">
        <f t="shared" si="290"/>
        <v>2675936</v>
      </c>
      <c r="J168" s="29">
        <f t="shared" si="290"/>
        <v>2594920</v>
      </c>
      <c r="K168" s="29">
        <f t="shared" si="290"/>
        <v>2513904</v>
      </c>
      <c r="L168" s="29">
        <f t="shared" si="290"/>
        <v>2432888</v>
      </c>
      <c r="M168" s="29">
        <f t="shared" si="290"/>
        <v>2351872</v>
      </c>
      <c r="N168" s="29">
        <f t="shared" si="290"/>
        <v>2270856</v>
      </c>
      <c r="O168" s="29">
        <f t="shared" si="290"/>
        <v>2189840</v>
      </c>
      <c r="P168" s="29">
        <f t="shared" si="290"/>
        <v>2108824</v>
      </c>
      <c r="Q168" s="29">
        <f t="shared" si="290"/>
        <v>2027808</v>
      </c>
      <c r="R168" s="29">
        <f t="shared" si="290"/>
        <v>1946792</v>
      </c>
      <c r="S168" s="29">
        <f t="shared" si="290"/>
        <v>1865776</v>
      </c>
      <c r="T168" s="29">
        <f t="shared" si="290"/>
        <v>1784760</v>
      </c>
      <c r="U168" s="29"/>
      <c r="V168" s="29"/>
      <c r="W168" s="29"/>
      <c r="X168" s="29"/>
    </row>
    <row r="169" spans="1:28" s="26" customFormat="1" hidden="1" outlineLevel="2" x14ac:dyDescent="0.3">
      <c r="A169" s="33"/>
      <c r="B169" s="33"/>
      <c r="C169" s="25" t="s">
        <v>130</v>
      </c>
      <c r="E169" s="29">
        <f>-(101016-20000)</f>
        <v>-81016</v>
      </c>
      <c r="F169" s="29">
        <f t="shared" ref="F169:T169" si="291">-(101016-20000)</f>
        <v>-81016</v>
      </c>
      <c r="G169" s="29">
        <f t="shared" si="291"/>
        <v>-81016</v>
      </c>
      <c r="H169" s="29">
        <f t="shared" si="291"/>
        <v>-81016</v>
      </c>
      <c r="I169" s="29">
        <f t="shared" si="291"/>
        <v>-81016</v>
      </c>
      <c r="J169" s="29">
        <f t="shared" si="291"/>
        <v>-81016</v>
      </c>
      <c r="K169" s="29">
        <f t="shared" si="291"/>
        <v>-81016</v>
      </c>
      <c r="L169" s="29">
        <f t="shared" si="291"/>
        <v>-81016</v>
      </c>
      <c r="M169" s="29">
        <f t="shared" si="291"/>
        <v>-81016</v>
      </c>
      <c r="N169" s="29">
        <f t="shared" si="291"/>
        <v>-81016</v>
      </c>
      <c r="O169" s="29">
        <f t="shared" si="291"/>
        <v>-81016</v>
      </c>
      <c r="P169" s="29">
        <f t="shared" si="291"/>
        <v>-81016</v>
      </c>
      <c r="Q169" s="29">
        <f t="shared" si="291"/>
        <v>-81016</v>
      </c>
      <c r="R169" s="29">
        <f t="shared" si="291"/>
        <v>-81016</v>
      </c>
      <c r="S169" s="29">
        <f t="shared" si="291"/>
        <v>-81016</v>
      </c>
      <c r="T169" s="29">
        <f t="shared" si="291"/>
        <v>-81016</v>
      </c>
      <c r="U169" s="29"/>
      <c r="V169" s="29"/>
      <c r="W169" s="29"/>
      <c r="X169" s="29"/>
    </row>
    <row r="170" spans="1:28" s="26" customFormat="1" hidden="1" outlineLevel="2" x14ac:dyDescent="0.3">
      <c r="A170" s="33"/>
      <c r="B170" s="33"/>
      <c r="C170" s="25" t="s">
        <v>131</v>
      </c>
      <c r="D170" s="29">
        <f>D94*60</f>
        <v>3000000</v>
      </c>
      <c r="E170" s="29">
        <f t="shared" ref="E170" si="292">E168+E169</f>
        <v>2918984</v>
      </c>
      <c r="F170" s="29">
        <f t="shared" ref="F170" si="293">F168+F169</f>
        <v>2837968</v>
      </c>
      <c r="G170" s="29">
        <f t="shared" ref="G170" si="294">G168+G169</f>
        <v>2756952</v>
      </c>
      <c r="H170" s="29">
        <f t="shared" ref="H170" si="295">H168+H169</f>
        <v>2675936</v>
      </c>
      <c r="I170" s="29">
        <f t="shared" ref="I170" si="296">I168+I169</f>
        <v>2594920</v>
      </c>
      <c r="J170" s="29">
        <f t="shared" ref="J170" si="297">J168+J169</f>
        <v>2513904</v>
      </c>
      <c r="K170" s="29">
        <f t="shared" ref="K170" si="298">K168+K169</f>
        <v>2432888</v>
      </c>
      <c r="L170" s="29">
        <f t="shared" ref="L170" si="299">L168+L169</f>
        <v>2351872</v>
      </c>
      <c r="M170" s="29">
        <f t="shared" ref="M170" si="300">M168+M169</f>
        <v>2270856</v>
      </c>
      <c r="N170" s="29">
        <f t="shared" ref="N170" si="301">N168+N169</f>
        <v>2189840</v>
      </c>
      <c r="O170" s="29">
        <f t="shared" ref="O170" si="302">O168+O169</f>
        <v>2108824</v>
      </c>
      <c r="P170" s="29">
        <f t="shared" ref="P170" si="303">P168+P169</f>
        <v>2027808</v>
      </c>
      <c r="Q170" s="29">
        <f t="shared" ref="Q170" si="304">Q168+Q169</f>
        <v>1946792</v>
      </c>
      <c r="R170" s="29">
        <f t="shared" ref="R170" si="305">R168+R169</f>
        <v>1865776</v>
      </c>
      <c r="S170" s="29">
        <f t="shared" ref="S170" si="306">S168+S169</f>
        <v>1784760</v>
      </c>
      <c r="T170" s="29">
        <f t="shared" ref="T170" si="307">T168+T169</f>
        <v>1703744</v>
      </c>
      <c r="U170" s="29"/>
      <c r="V170" s="29"/>
      <c r="W170" s="29"/>
      <c r="X170" s="29"/>
    </row>
    <row r="171" spans="1:28" hidden="1" outlineLevel="1" x14ac:dyDescent="0.3">
      <c r="C171" s="1" t="s">
        <v>132</v>
      </c>
      <c r="E171" s="3"/>
    </row>
    <row r="172" spans="1:28" s="26" customFormat="1" hidden="1" outlineLevel="2" x14ac:dyDescent="0.3">
      <c r="A172" s="33"/>
      <c r="B172" s="33"/>
      <c r="C172" s="25" t="s">
        <v>129</v>
      </c>
      <c r="E172" s="29">
        <f>D174</f>
        <v>2000000.0000000002</v>
      </c>
      <c r="F172" s="29">
        <f t="shared" ref="F172:T172" si="308">E174</f>
        <v>1938105.0000000002</v>
      </c>
      <c r="G172" s="29">
        <f t="shared" si="308"/>
        <v>1876210.0000000002</v>
      </c>
      <c r="H172" s="29">
        <f t="shared" si="308"/>
        <v>1814315.0000000002</v>
      </c>
      <c r="I172" s="29">
        <f t="shared" si="308"/>
        <v>1752420.0000000002</v>
      </c>
      <c r="J172" s="29">
        <f t="shared" si="308"/>
        <v>1690525.0000000002</v>
      </c>
      <c r="K172" s="29">
        <f t="shared" si="308"/>
        <v>1628630.0000000002</v>
      </c>
      <c r="L172" s="29">
        <f t="shared" si="308"/>
        <v>1566735.0000000002</v>
      </c>
      <c r="M172" s="29">
        <f t="shared" si="308"/>
        <v>1504840.0000000002</v>
      </c>
      <c r="N172" s="29">
        <f t="shared" si="308"/>
        <v>1442945.0000000002</v>
      </c>
      <c r="O172" s="29">
        <f t="shared" si="308"/>
        <v>1381050.0000000002</v>
      </c>
      <c r="P172" s="29">
        <f t="shared" si="308"/>
        <v>1319155.0000000002</v>
      </c>
      <c r="Q172" s="29">
        <f t="shared" si="308"/>
        <v>1257260.0000000002</v>
      </c>
      <c r="R172" s="29">
        <f t="shared" si="308"/>
        <v>1195365.0000000002</v>
      </c>
      <c r="S172" s="29">
        <f t="shared" si="308"/>
        <v>1133470.0000000002</v>
      </c>
      <c r="T172" s="29">
        <f t="shared" si="308"/>
        <v>1071575.0000000002</v>
      </c>
      <c r="U172" s="29"/>
      <c r="V172" s="29"/>
      <c r="W172" s="29"/>
      <c r="X172" s="29"/>
    </row>
    <row r="173" spans="1:28" s="26" customFormat="1" hidden="1" outlineLevel="2" x14ac:dyDescent="0.3">
      <c r="A173" s="33"/>
      <c r="B173" s="33"/>
      <c r="C173" s="25" t="s">
        <v>130</v>
      </c>
      <c r="E173" s="29">
        <f>-(72895-11000)</f>
        <v>-61895</v>
      </c>
      <c r="F173" s="29">
        <f t="shared" ref="F173:T173" si="309">-(72895-11000)</f>
        <v>-61895</v>
      </c>
      <c r="G173" s="29">
        <f t="shared" si="309"/>
        <v>-61895</v>
      </c>
      <c r="H173" s="29">
        <f t="shared" si="309"/>
        <v>-61895</v>
      </c>
      <c r="I173" s="29">
        <f t="shared" si="309"/>
        <v>-61895</v>
      </c>
      <c r="J173" s="29">
        <f t="shared" si="309"/>
        <v>-61895</v>
      </c>
      <c r="K173" s="29">
        <f t="shared" si="309"/>
        <v>-61895</v>
      </c>
      <c r="L173" s="29">
        <f t="shared" si="309"/>
        <v>-61895</v>
      </c>
      <c r="M173" s="29">
        <f t="shared" si="309"/>
        <v>-61895</v>
      </c>
      <c r="N173" s="29">
        <f t="shared" si="309"/>
        <v>-61895</v>
      </c>
      <c r="O173" s="29">
        <f t="shared" si="309"/>
        <v>-61895</v>
      </c>
      <c r="P173" s="29">
        <f t="shared" si="309"/>
        <v>-61895</v>
      </c>
      <c r="Q173" s="29">
        <f t="shared" si="309"/>
        <v>-61895</v>
      </c>
      <c r="R173" s="29">
        <f t="shared" si="309"/>
        <v>-61895</v>
      </c>
      <c r="S173" s="29">
        <f t="shared" si="309"/>
        <v>-61895</v>
      </c>
      <c r="T173" s="29">
        <f t="shared" si="309"/>
        <v>-61895</v>
      </c>
      <c r="U173" s="29"/>
      <c r="V173" s="29"/>
      <c r="W173" s="29"/>
      <c r="X173" s="29"/>
    </row>
    <row r="174" spans="1:28" s="26" customFormat="1" hidden="1" outlineLevel="2" x14ac:dyDescent="0.3">
      <c r="A174" s="33"/>
      <c r="B174" s="33"/>
      <c r="C174" s="25" t="s">
        <v>131</v>
      </c>
      <c r="D174" s="29">
        <f>D95*60</f>
        <v>2000000.0000000002</v>
      </c>
      <c r="E174" s="29">
        <f t="shared" ref="E174" si="310">E172+E173</f>
        <v>1938105.0000000002</v>
      </c>
      <c r="F174" s="29">
        <f t="shared" ref="F174" si="311">F172+F173</f>
        <v>1876210.0000000002</v>
      </c>
      <c r="G174" s="29">
        <f t="shared" ref="G174" si="312">G172+G173</f>
        <v>1814315.0000000002</v>
      </c>
      <c r="H174" s="29">
        <f t="shared" ref="H174" si="313">H172+H173</f>
        <v>1752420.0000000002</v>
      </c>
      <c r="I174" s="29">
        <f t="shared" ref="I174" si="314">I172+I173</f>
        <v>1690525.0000000002</v>
      </c>
      <c r="J174" s="29">
        <f t="shared" ref="J174" si="315">J172+J173</f>
        <v>1628630.0000000002</v>
      </c>
      <c r="K174" s="29">
        <f t="shared" ref="K174" si="316">K172+K173</f>
        <v>1566735.0000000002</v>
      </c>
      <c r="L174" s="29">
        <f t="shared" ref="L174" si="317">L172+L173</f>
        <v>1504840.0000000002</v>
      </c>
      <c r="M174" s="29">
        <f t="shared" ref="M174" si="318">M172+M173</f>
        <v>1442945.0000000002</v>
      </c>
      <c r="N174" s="29">
        <f t="shared" ref="N174" si="319">N172+N173</f>
        <v>1381050.0000000002</v>
      </c>
      <c r="O174" s="29">
        <f t="shared" ref="O174" si="320">O172+O173</f>
        <v>1319155.0000000002</v>
      </c>
      <c r="P174" s="29">
        <f t="shared" ref="P174" si="321">P172+P173</f>
        <v>1257260.0000000002</v>
      </c>
      <c r="Q174" s="29">
        <f t="shared" ref="Q174" si="322">Q172+Q173</f>
        <v>1195365.0000000002</v>
      </c>
      <c r="R174" s="29">
        <f t="shared" ref="R174" si="323">R172+R173</f>
        <v>1133470.0000000002</v>
      </c>
      <c r="S174" s="29">
        <f t="shared" ref="S174" si="324">S172+S173</f>
        <v>1071575.0000000002</v>
      </c>
      <c r="T174" s="29">
        <f t="shared" ref="T174" si="325">T172+T173</f>
        <v>1009680.0000000002</v>
      </c>
      <c r="U174" s="29"/>
      <c r="V174" s="29"/>
      <c r="W174" s="29"/>
      <c r="X174" s="29"/>
    </row>
    <row r="175" spans="1:28" hidden="1" outlineLevel="1" x14ac:dyDescent="0.3">
      <c r="C175" s="1"/>
    </row>
    <row r="176" spans="1:28" hidden="1" outlineLevel="2" x14ac:dyDescent="0.3">
      <c r="C176" s="14"/>
    </row>
    <row r="177" spans="1:26" hidden="1" outlineLevel="2" x14ac:dyDescent="0.3">
      <c r="C177" s="1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26" hidden="1" outlineLevel="2" x14ac:dyDescent="0.3">
      <c r="C178" s="14"/>
    </row>
    <row r="179" spans="1:26" hidden="1" outlineLevel="1" x14ac:dyDescent="0.3"/>
    <row r="180" spans="1:26" x14ac:dyDescent="0.3">
      <c r="B180" s="33" t="s">
        <v>192</v>
      </c>
      <c r="C180" s="1" t="s">
        <v>139</v>
      </c>
      <c r="D180" s="8">
        <v>0</v>
      </c>
      <c r="E180" s="3">
        <f>E97*D180</f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26" s="26" customFormat="1" x14ac:dyDescent="0.3">
      <c r="A181" s="33"/>
      <c r="B181" s="33"/>
      <c r="C181" s="25" t="s">
        <v>140</v>
      </c>
      <c r="E181" s="26">
        <f>E180+D181</f>
        <v>0</v>
      </c>
      <c r="F181" s="26">
        <f t="shared" ref="F181:M181" si="326">F180+E181</f>
        <v>0</v>
      </c>
      <c r="G181" s="26">
        <f t="shared" si="326"/>
        <v>0</v>
      </c>
      <c r="H181" s="26">
        <f t="shared" si="326"/>
        <v>0</v>
      </c>
      <c r="I181" s="26">
        <f t="shared" si="326"/>
        <v>0</v>
      </c>
      <c r="J181" s="26">
        <f t="shared" si="326"/>
        <v>0</v>
      </c>
      <c r="K181" s="26">
        <f t="shared" si="326"/>
        <v>0</v>
      </c>
      <c r="L181" s="26">
        <f t="shared" si="326"/>
        <v>0</v>
      </c>
      <c r="M181" s="26">
        <f t="shared" si="326"/>
        <v>0</v>
      </c>
    </row>
    <row r="183" spans="1:26" x14ac:dyDescent="0.3">
      <c r="C183" s="2" t="s">
        <v>141</v>
      </c>
      <c r="E183" s="4">
        <f>SUMIFS(E$184:E$187,$B$184:$B$187,"s")</f>
        <v>0</v>
      </c>
      <c r="F183" s="4">
        <f t="shared" ref="F183:N183" si="327">SUMIFS(F$184:F$187,$B$184:$B$187,"s")</f>
        <v>0</v>
      </c>
      <c r="G183" s="4">
        <f t="shared" si="327"/>
        <v>0</v>
      </c>
      <c r="H183" s="4">
        <f t="shared" si="327"/>
        <v>0</v>
      </c>
      <c r="I183" s="4">
        <f t="shared" si="327"/>
        <v>0</v>
      </c>
      <c r="J183" s="4">
        <f t="shared" si="327"/>
        <v>0</v>
      </c>
      <c r="K183" s="4">
        <f t="shared" si="327"/>
        <v>0</v>
      </c>
      <c r="L183" s="4">
        <f t="shared" si="327"/>
        <v>0</v>
      </c>
      <c r="M183" s="4">
        <f t="shared" si="327"/>
        <v>0</v>
      </c>
      <c r="N183" s="4">
        <f t="shared" si="327"/>
        <v>0</v>
      </c>
    </row>
    <row r="184" spans="1:26" x14ac:dyDescent="0.3">
      <c r="B184" s="33" t="s">
        <v>192</v>
      </c>
      <c r="C184" s="1" t="s">
        <v>142</v>
      </c>
    </row>
    <row r="185" spans="1:26" x14ac:dyDescent="0.3">
      <c r="C185" s="1"/>
    </row>
    <row r="186" spans="1:26" x14ac:dyDescent="0.3">
      <c r="B186" s="33" t="s">
        <v>192</v>
      </c>
      <c r="C186" s="1" t="s">
        <v>143</v>
      </c>
    </row>
    <row r="188" spans="1:26" x14ac:dyDescent="0.3">
      <c r="C188" s="24" t="s">
        <v>144</v>
      </c>
      <c r="D188" s="30">
        <f>SUMIFS($D$193:$D$234,$C$193:$C$234,$C188)</f>
        <v>358333.33333333331</v>
      </c>
      <c r="E188" s="30">
        <f t="shared" ref="E188:Z188" si="328">SUMIFS(E$193:E$234,$C$193:$C$234,$C188)</f>
        <v>-358333.33333333331</v>
      </c>
      <c r="F188" s="30">
        <f t="shared" si="328"/>
        <v>-358333.33333333331</v>
      </c>
      <c r="G188" s="30">
        <f t="shared" si="328"/>
        <v>-358333.33333333331</v>
      </c>
      <c r="H188" s="30">
        <f t="shared" si="328"/>
        <v>-358333.33333333331</v>
      </c>
      <c r="I188" s="30">
        <f t="shared" si="328"/>
        <v>-358333.33333333331</v>
      </c>
      <c r="J188" s="30">
        <f t="shared" si="328"/>
        <v>-358333.33333333331</v>
      </c>
      <c r="K188" s="30">
        <f t="shared" si="328"/>
        <v>-358333.33333333331</v>
      </c>
      <c r="L188" s="30">
        <f t="shared" si="328"/>
        <v>-358333.33333333331</v>
      </c>
      <c r="M188" s="30">
        <f t="shared" si="328"/>
        <v>-358333.33333333331</v>
      </c>
      <c r="N188" s="30">
        <f t="shared" si="328"/>
        <v>-358333.33333333331</v>
      </c>
      <c r="O188" s="30">
        <f t="shared" si="328"/>
        <v>-358333.33333333331</v>
      </c>
      <c r="P188" s="30">
        <f t="shared" si="328"/>
        <v>-358333.33333333331</v>
      </c>
      <c r="Q188" s="30">
        <f t="shared" si="328"/>
        <v>-358333.33333333331</v>
      </c>
      <c r="R188" s="30">
        <f t="shared" si="328"/>
        <v>-358333.33333333331</v>
      </c>
      <c r="S188" s="30">
        <f t="shared" si="328"/>
        <v>-358333.33333333331</v>
      </c>
      <c r="T188" s="30">
        <f t="shared" si="328"/>
        <v>-358333.33333333331</v>
      </c>
      <c r="U188" s="30">
        <f t="shared" si="328"/>
        <v>-358333.33333333331</v>
      </c>
      <c r="V188" s="30">
        <f t="shared" si="328"/>
        <v>-358333.33333333331</v>
      </c>
      <c r="W188" s="30">
        <f t="shared" si="328"/>
        <v>-358333.33333333331</v>
      </c>
      <c r="X188" s="30">
        <f t="shared" si="328"/>
        <v>-358333.33333333331</v>
      </c>
      <c r="Y188" s="30">
        <f t="shared" si="328"/>
        <v>-358333.33333333331</v>
      </c>
      <c r="Z188" s="30">
        <f t="shared" si="328"/>
        <v>-358333.33333333331</v>
      </c>
    </row>
    <row r="189" spans="1:26" x14ac:dyDescent="0.3">
      <c r="C189" s="24" t="s">
        <v>145</v>
      </c>
      <c r="D189" s="30">
        <f>SUMIFS(D$193:D$234,$C$193:$C$234,$C189)</f>
        <v>0</v>
      </c>
      <c r="E189" s="30">
        <f t="shared" ref="E189:Z190" si="329">SUMIFS(E$193:E$234,$C$193:$C$234,$C189)</f>
        <v>21500000</v>
      </c>
      <c r="F189" s="30">
        <f t="shared" si="329"/>
        <v>21141666.666666668</v>
      </c>
      <c r="G189" s="30">
        <f t="shared" si="329"/>
        <v>19333333.333333332</v>
      </c>
      <c r="H189" s="30">
        <f t="shared" si="329"/>
        <v>19000000</v>
      </c>
      <c r="I189" s="30">
        <f t="shared" si="329"/>
        <v>18666666.666666668</v>
      </c>
      <c r="J189" s="30">
        <f t="shared" si="329"/>
        <v>18333333.333333336</v>
      </c>
      <c r="K189" s="30">
        <f t="shared" si="329"/>
        <v>18000000</v>
      </c>
      <c r="L189" s="30">
        <f t="shared" si="329"/>
        <v>17666666.666666668</v>
      </c>
      <c r="M189" s="30">
        <f t="shared" si="329"/>
        <v>17333333.333333336</v>
      </c>
      <c r="N189" s="30">
        <f t="shared" si="329"/>
        <v>17000000</v>
      </c>
      <c r="O189" s="30">
        <f t="shared" si="329"/>
        <v>16666666.666666668</v>
      </c>
      <c r="P189" s="30">
        <f t="shared" si="329"/>
        <v>16333333.333333334</v>
      </c>
      <c r="Q189" s="30">
        <f t="shared" si="329"/>
        <v>16000000.000000002</v>
      </c>
      <c r="R189" s="30">
        <f t="shared" si="329"/>
        <v>15666666.666666668</v>
      </c>
      <c r="S189" s="30">
        <f t="shared" si="329"/>
        <v>15333333.333333334</v>
      </c>
      <c r="T189" s="30">
        <f t="shared" si="329"/>
        <v>15000000.000000002</v>
      </c>
      <c r="U189" s="30">
        <f t="shared" si="329"/>
        <v>14666666.666666668</v>
      </c>
      <c r="V189" s="30">
        <f t="shared" si="329"/>
        <v>14333333.333333336</v>
      </c>
      <c r="W189" s="30">
        <f t="shared" si="329"/>
        <v>14000000.000000002</v>
      </c>
      <c r="X189" s="30">
        <f t="shared" si="329"/>
        <v>13666666.666666668</v>
      </c>
      <c r="Y189" s="30">
        <f t="shared" si="329"/>
        <v>13333333.333333336</v>
      </c>
      <c r="Z189" s="30">
        <f t="shared" si="329"/>
        <v>13000000.000000002</v>
      </c>
    </row>
    <row r="190" spans="1:26" x14ac:dyDescent="0.3">
      <c r="C190" s="24" t="s">
        <v>146</v>
      </c>
      <c r="D190" s="30">
        <f>SUMIFS($D$193:$D$234,$C$193:$C$234,$C190)</f>
        <v>21500000</v>
      </c>
      <c r="E190" s="30">
        <f t="shared" si="329"/>
        <v>21141666.666666668</v>
      </c>
      <c r="F190" s="30">
        <f t="shared" si="329"/>
        <v>19333333.333333332</v>
      </c>
      <c r="G190" s="30">
        <f t="shared" si="329"/>
        <v>19000000</v>
      </c>
      <c r="H190" s="30">
        <f t="shared" si="329"/>
        <v>18666666.666666668</v>
      </c>
      <c r="I190" s="30">
        <f t="shared" si="329"/>
        <v>18333333.333333336</v>
      </c>
      <c r="J190" s="30">
        <f t="shared" si="329"/>
        <v>18000000</v>
      </c>
      <c r="K190" s="30">
        <f t="shared" si="329"/>
        <v>17666666.666666668</v>
      </c>
      <c r="L190" s="30">
        <f t="shared" si="329"/>
        <v>17333333.333333336</v>
      </c>
      <c r="M190" s="30">
        <f t="shared" si="329"/>
        <v>17000000</v>
      </c>
      <c r="N190" s="30">
        <f t="shared" si="329"/>
        <v>16666666.666666668</v>
      </c>
      <c r="O190" s="30">
        <f t="shared" si="329"/>
        <v>16333333.333333334</v>
      </c>
      <c r="P190" s="30">
        <f t="shared" si="329"/>
        <v>16000000.000000002</v>
      </c>
      <c r="Q190" s="30">
        <f t="shared" si="329"/>
        <v>15666666.666666668</v>
      </c>
      <c r="R190" s="30">
        <f t="shared" si="329"/>
        <v>15333333.333333334</v>
      </c>
      <c r="S190" s="30">
        <f t="shared" si="329"/>
        <v>15000000.000000002</v>
      </c>
      <c r="T190" s="30">
        <f t="shared" si="329"/>
        <v>14666666.666666668</v>
      </c>
      <c r="U190" s="30">
        <f t="shared" si="329"/>
        <v>14333333.333333336</v>
      </c>
      <c r="V190" s="30">
        <f t="shared" si="329"/>
        <v>14000000.000000002</v>
      </c>
      <c r="W190" s="30">
        <f t="shared" si="329"/>
        <v>13666666.666666668</v>
      </c>
      <c r="X190" s="30">
        <f t="shared" si="329"/>
        <v>13333333.333333336</v>
      </c>
      <c r="Y190" s="30">
        <f t="shared" si="329"/>
        <v>13000000.000000002</v>
      </c>
      <c r="Z190" s="30">
        <f t="shared" si="329"/>
        <v>12666666.666666668</v>
      </c>
    </row>
    <row r="191" spans="1:26" collapsed="1" x14ac:dyDescent="0.3">
      <c r="C191" s="24"/>
    </row>
    <row r="192" spans="1:26" hidden="1" outlineLevel="1" x14ac:dyDescent="0.3"/>
    <row r="193" spans="3:26" hidden="1" outlineLevel="1" x14ac:dyDescent="0.3">
      <c r="C193" s="27" t="s">
        <v>148</v>
      </c>
      <c r="D193" s="29">
        <f>D150</f>
        <v>1500000</v>
      </c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</row>
    <row r="194" spans="3:26" hidden="1" outlineLevel="1" x14ac:dyDescent="0.3">
      <c r="C194" s="25" t="s">
        <v>144</v>
      </c>
      <c r="D194" s="29">
        <f>D193/D197</f>
        <v>25000</v>
      </c>
      <c r="E194" s="29">
        <f t="shared" ref="E194:Z194" si="330">-$D$200</f>
        <v>-25000</v>
      </c>
      <c r="F194" s="29">
        <f t="shared" si="330"/>
        <v>-25000</v>
      </c>
      <c r="G194" s="29">
        <f t="shared" si="330"/>
        <v>-25000</v>
      </c>
      <c r="H194" s="29">
        <f t="shared" si="330"/>
        <v>-25000</v>
      </c>
      <c r="I194" s="29">
        <f t="shared" si="330"/>
        <v>-25000</v>
      </c>
      <c r="J194" s="29">
        <f t="shared" si="330"/>
        <v>-25000</v>
      </c>
      <c r="K194" s="29">
        <f t="shared" si="330"/>
        <v>-25000</v>
      </c>
      <c r="L194" s="29">
        <f t="shared" si="330"/>
        <v>-25000</v>
      </c>
      <c r="M194" s="29">
        <f t="shared" si="330"/>
        <v>-25000</v>
      </c>
      <c r="N194" s="29">
        <f t="shared" si="330"/>
        <v>-25000</v>
      </c>
      <c r="O194" s="29">
        <f t="shared" si="330"/>
        <v>-25000</v>
      </c>
      <c r="P194" s="29">
        <f t="shared" si="330"/>
        <v>-25000</v>
      </c>
      <c r="Q194" s="29">
        <f t="shared" si="330"/>
        <v>-25000</v>
      </c>
      <c r="R194" s="29">
        <f t="shared" si="330"/>
        <v>-25000</v>
      </c>
      <c r="S194" s="29">
        <f t="shared" si="330"/>
        <v>-25000</v>
      </c>
      <c r="T194" s="29">
        <f t="shared" si="330"/>
        <v>-25000</v>
      </c>
      <c r="U194" s="29">
        <f t="shared" si="330"/>
        <v>-25000</v>
      </c>
      <c r="V194" s="29">
        <f t="shared" si="330"/>
        <v>-25000</v>
      </c>
      <c r="W194" s="29">
        <f t="shared" si="330"/>
        <v>-25000</v>
      </c>
      <c r="X194" s="29">
        <f t="shared" si="330"/>
        <v>-25000</v>
      </c>
      <c r="Y194" s="29">
        <f t="shared" si="330"/>
        <v>-25000</v>
      </c>
      <c r="Z194" s="29">
        <f t="shared" si="330"/>
        <v>-25000</v>
      </c>
    </row>
    <row r="195" spans="3:26" hidden="1" outlineLevel="1" x14ac:dyDescent="0.3">
      <c r="C195" s="25" t="s">
        <v>145</v>
      </c>
      <c r="D195" s="29"/>
      <c r="E195" s="29">
        <f>D196</f>
        <v>1500000</v>
      </c>
      <c r="F195" s="29">
        <f>E196</f>
        <v>1475000</v>
      </c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</row>
    <row r="196" spans="3:26" hidden="1" outlineLevel="1" x14ac:dyDescent="0.3">
      <c r="C196" s="25" t="s">
        <v>146</v>
      </c>
      <c r="D196" s="29">
        <f>D193</f>
        <v>1500000</v>
      </c>
      <c r="E196" s="29">
        <f>E195+E194</f>
        <v>1475000</v>
      </c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</row>
    <row r="197" spans="3:26" hidden="1" outlineLevel="1" x14ac:dyDescent="0.3">
      <c r="C197" s="25" t="s">
        <v>147</v>
      </c>
      <c r="D197" s="26">
        <v>60</v>
      </c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</row>
    <row r="198" spans="3:26" hidden="1" outlineLevel="1" x14ac:dyDescent="0.3"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</row>
    <row r="199" spans="3:26" hidden="1" outlineLevel="1" x14ac:dyDescent="0.3">
      <c r="C199" s="27" t="s">
        <v>149</v>
      </c>
      <c r="D199" s="29">
        <f>D154</f>
        <v>1500000</v>
      </c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</row>
    <row r="200" spans="3:26" hidden="1" outlineLevel="1" x14ac:dyDescent="0.3">
      <c r="C200" s="25" t="s">
        <v>144</v>
      </c>
      <c r="D200" s="29">
        <f>D199/D203</f>
        <v>25000</v>
      </c>
      <c r="E200" s="29">
        <f>-$D$200</f>
        <v>-25000</v>
      </c>
      <c r="F200" s="29">
        <f t="shared" ref="F200:Z200" si="331">-$D$200</f>
        <v>-25000</v>
      </c>
      <c r="G200" s="29">
        <f t="shared" si="331"/>
        <v>-25000</v>
      </c>
      <c r="H200" s="29">
        <f t="shared" si="331"/>
        <v>-25000</v>
      </c>
      <c r="I200" s="29">
        <f t="shared" si="331"/>
        <v>-25000</v>
      </c>
      <c r="J200" s="29">
        <f t="shared" si="331"/>
        <v>-25000</v>
      </c>
      <c r="K200" s="29">
        <f t="shared" si="331"/>
        <v>-25000</v>
      </c>
      <c r="L200" s="29">
        <f t="shared" si="331"/>
        <v>-25000</v>
      </c>
      <c r="M200" s="29">
        <f t="shared" si="331"/>
        <v>-25000</v>
      </c>
      <c r="N200" s="29">
        <f t="shared" si="331"/>
        <v>-25000</v>
      </c>
      <c r="O200" s="29">
        <f t="shared" si="331"/>
        <v>-25000</v>
      </c>
      <c r="P200" s="29">
        <f t="shared" si="331"/>
        <v>-25000</v>
      </c>
      <c r="Q200" s="29">
        <f t="shared" si="331"/>
        <v>-25000</v>
      </c>
      <c r="R200" s="29">
        <f t="shared" si="331"/>
        <v>-25000</v>
      </c>
      <c r="S200" s="29">
        <f t="shared" si="331"/>
        <v>-25000</v>
      </c>
      <c r="T200" s="29">
        <f t="shared" si="331"/>
        <v>-25000</v>
      </c>
      <c r="U200" s="29">
        <f t="shared" si="331"/>
        <v>-25000</v>
      </c>
      <c r="V200" s="29">
        <f t="shared" si="331"/>
        <v>-25000</v>
      </c>
      <c r="W200" s="29">
        <f t="shared" si="331"/>
        <v>-25000</v>
      </c>
      <c r="X200" s="29">
        <f t="shared" si="331"/>
        <v>-25000</v>
      </c>
      <c r="Y200" s="29">
        <f t="shared" si="331"/>
        <v>-25000</v>
      </c>
      <c r="Z200" s="29">
        <f t="shared" si="331"/>
        <v>-25000</v>
      </c>
    </row>
    <row r="201" spans="3:26" hidden="1" outlineLevel="1" x14ac:dyDescent="0.3">
      <c r="C201" s="25" t="s">
        <v>145</v>
      </c>
      <c r="D201" s="29"/>
      <c r="E201" s="29">
        <f t="shared" ref="E201:Z201" si="332">D202</f>
        <v>1500000</v>
      </c>
      <c r="F201" s="29">
        <f t="shared" si="332"/>
        <v>1475000</v>
      </c>
      <c r="G201" s="29">
        <f t="shared" si="332"/>
        <v>1450000</v>
      </c>
      <c r="H201" s="29">
        <f t="shared" si="332"/>
        <v>1425000</v>
      </c>
      <c r="I201" s="29">
        <f t="shared" si="332"/>
        <v>1400000</v>
      </c>
      <c r="J201" s="29">
        <f t="shared" si="332"/>
        <v>1375000</v>
      </c>
      <c r="K201" s="29">
        <f t="shared" si="332"/>
        <v>1350000</v>
      </c>
      <c r="L201" s="29">
        <f t="shared" si="332"/>
        <v>1325000</v>
      </c>
      <c r="M201" s="29">
        <f t="shared" si="332"/>
        <v>1300000</v>
      </c>
      <c r="N201" s="29">
        <f t="shared" si="332"/>
        <v>1275000</v>
      </c>
      <c r="O201" s="29">
        <f t="shared" si="332"/>
        <v>1250000</v>
      </c>
      <c r="P201" s="29">
        <f t="shared" si="332"/>
        <v>1225000</v>
      </c>
      <c r="Q201" s="29">
        <f t="shared" si="332"/>
        <v>1200000</v>
      </c>
      <c r="R201" s="29">
        <f t="shared" si="332"/>
        <v>1175000</v>
      </c>
      <c r="S201" s="29">
        <f t="shared" si="332"/>
        <v>1150000</v>
      </c>
      <c r="T201" s="29">
        <f t="shared" si="332"/>
        <v>1125000</v>
      </c>
      <c r="U201" s="29">
        <f t="shared" si="332"/>
        <v>1100000</v>
      </c>
      <c r="V201" s="29">
        <f t="shared" si="332"/>
        <v>1075000</v>
      </c>
      <c r="W201" s="29">
        <f t="shared" si="332"/>
        <v>1050000</v>
      </c>
      <c r="X201" s="29">
        <f t="shared" si="332"/>
        <v>1025000</v>
      </c>
      <c r="Y201" s="29">
        <f t="shared" si="332"/>
        <v>1000000</v>
      </c>
      <c r="Z201" s="29">
        <f t="shared" si="332"/>
        <v>975000</v>
      </c>
    </row>
    <row r="202" spans="3:26" hidden="1" outlineLevel="1" x14ac:dyDescent="0.3">
      <c r="C202" s="25" t="s">
        <v>146</v>
      </c>
      <c r="D202" s="29">
        <f>D199</f>
        <v>1500000</v>
      </c>
      <c r="E202" s="29">
        <f t="shared" ref="E202:Z202" si="333">E201+E200</f>
        <v>1475000</v>
      </c>
      <c r="F202" s="29">
        <f t="shared" si="333"/>
        <v>1450000</v>
      </c>
      <c r="G202" s="29">
        <f t="shared" si="333"/>
        <v>1425000</v>
      </c>
      <c r="H202" s="29">
        <f t="shared" si="333"/>
        <v>1400000</v>
      </c>
      <c r="I202" s="29">
        <f t="shared" si="333"/>
        <v>1375000</v>
      </c>
      <c r="J202" s="29">
        <f t="shared" si="333"/>
        <v>1350000</v>
      </c>
      <c r="K202" s="29">
        <f t="shared" si="333"/>
        <v>1325000</v>
      </c>
      <c r="L202" s="29">
        <f t="shared" si="333"/>
        <v>1300000</v>
      </c>
      <c r="M202" s="29">
        <f t="shared" si="333"/>
        <v>1275000</v>
      </c>
      <c r="N202" s="29">
        <f t="shared" si="333"/>
        <v>1250000</v>
      </c>
      <c r="O202" s="29">
        <f t="shared" si="333"/>
        <v>1225000</v>
      </c>
      <c r="P202" s="29">
        <f t="shared" si="333"/>
        <v>1200000</v>
      </c>
      <c r="Q202" s="29">
        <f t="shared" si="333"/>
        <v>1175000</v>
      </c>
      <c r="R202" s="29">
        <f t="shared" si="333"/>
        <v>1150000</v>
      </c>
      <c r="S202" s="29">
        <f t="shared" si="333"/>
        <v>1125000</v>
      </c>
      <c r="T202" s="29">
        <f t="shared" si="333"/>
        <v>1100000</v>
      </c>
      <c r="U202" s="29">
        <f t="shared" si="333"/>
        <v>1075000</v>
      </c>
      <c r="V202" s="29">
        <f t="shared" si="333"/>
        <v>1050000</v>
      </c>
      <c r="W202" s="29">
        <f t="shared" si="333"/>
        <v>1025000</v>
      </c>
      <c r="X202" s="29">
        <f t="shared" si="333"/>
        <v>1000000</v>
      </c>
      <c r="Y202" s="29">
        <f t="shared" si="333"/>
        <v>975000</v>
      </c>
      <c r="Z202" s="29">
        <f t="shared" si="333"/>
        <v>950000</v>
      </c>
    </row>
    <row r="203" spans="3:26" hidden="1" outlineLevel="1" x14ac:dyDescent="0.3">
      <c r="C203" s="25" t="s">
        <v>147</v>
      </c>
      <c r="D203" s="26">
        <v>60</v>
      </c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</row>
    <row r="204" spans="3:26" hidden="1" outlineLevel="1" x14ac:dyDescent="0.3"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</row>
    <row r="205" spans="3:26" hidden="1" outlineLevel="1" x14ac:dyDescent="0.3">
      <c r="C205" s="27" t="s">
        <v>150</v>
      </c>
      <c r="D205" s="29">
        <f>D158</f>
        <v>1500000</v>
      </c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</row>
    <row r="206" spans="3:26" hidden="1" outlineLevel="1" x14ac:dyDescent="0.3">
      <c r="C206" s="25" t="s">
        <v>144</v>
      </c>
      <c r="D206" s="29">
        <f>D205/D209</f>
        <v>25000</v>
      </c>
      <c r="E206" s="29">
        <f>-$D$206</f>
        <v>-25000</v>
      </c>
      <c r="F206" s="29">
        <f t="shared" ref="F206:Z206" si="334">-$D$206</f>
        <v>-25000</v>
      </c>
      <c r="G206" s="29">
        <f t="shared" si="334"/>
        <v>-25000</v>
      </c>
      <c r="H206" s="29">
        <f t="shared" si="334"/>
        <v>-25000</v>
      </c>
      <c r="I206" s="29">
        <f t="shared" si="334"/>
        <v>-25000</v>
      </c>
      <c r="J206" s="29">
        <f t="shared" si="334"/>
        <v>-25000</v>
      </c>
      <c r="K206" s="29">
        <f t="shared" si="334"/>
        <v>-25000</v>
      </c>
      <c r="L206" s="29">
        <f t="shared" si="334"/>
        <v>-25000</v>
      </c>
      <c r="M206" s="29">
        <f t="shared" si="334"/>
        <v>-25000</v>
      </c>
      <c r="N206" s="29">
        <f t="shared" si="334"/>
        <v>-25000</v>
      </c>
      <c r="O206" s="29">
        <f t="shared" si="334"/>
        <v>-25000</v>
      </c>
      <c r="P206" s="29">
        <f t="shared" si="334"/>
        <v>-25000</v>
      </c>
      <c r="Q206" s="29">
        <f t="shared" si="334"/>
        <v>-25000</v>
      </c>
      <c r="R206" s="29">
        <f t="shared" si="334"/>
        <v>-25000</v>
      </c>
      <c r="S206" s="29">
        <f t="shared" si="334"/>
        <v>-25000</v>
      </c>
      <c r="T206" s="29">
        <f t="shared" si="334"/>
        <v>-25000</v>
      </c>
      <c r="U206" s="29">
        <f t="shared" si="334"/>
        <v>-25000</v>
      </c>
      <c r="V206" s="29">
        <f t="shared" si="334"/>
        <v>-25000</v>
      </c>
      <c r="W206" s="29">
        <f t="shared" si="334"/>
        <v>-25000</v>
      </c>
      <c r="X206" s="29">
        <f t="shared" si="334"/>
        <v>-25000</v>
      </c>
      <c r="Y206" s="29">
        <f t="shared" si="334"/>
        <v>-25000</v>
      </c>
      <c r="Z206" s="29">
        <f t="shared" si="334"/>
        <v>-25000</v>
      </c>
    </row>
    <row r="207" spans="3:26" hidden="1" outlineLevel="1" x14ac:dyDescent="0.3">
      <c r="C207" s="25" t="s">
        <v>145</v>
      </c>
      <c r="D207" s="29"/>
      <c r="E207" s="29">
        <f t="shared" ref="E207:Z207" si="335">D208</f>
        <v>1500000</v>
      </c>
      <c r="F207" s="29">
        <f t="shared" si="335"/>
        <v>1475000</v>
      </c>
      <c r="G207" s="29">
        <f t="shared" si="335"/>
        <v>1450000</v>
      </c>
      <c r="H207" s="29">
        <f t="shared" si="335"/>
        <v>1425000</v>
      </c>
      <c r="I207" s="29">
        <f t="shared" si="335"/>
        <v>1400000</v>
      </c>
      <c r="J207" s="29">
        <f t="shared" si="335"/>
        <v>1375000</v>
      </c>
      <c r="K207" s="29">
        <f t="shared" si="335"/>
        <v>1350000</v>
      </c>
      <c r="L207" s="29">
        <f t="shared" si="335"/>
        <v>1325000</v>
      </c>
      <c r="M207" s="29">
        <f t="shared" si="335"/>
        <v>1300000</v>
      </c>
      <c r="N207" s="29">
        <f t="shared" si="335"/>
        <v>1275000</v>
      </c>
      <c r="O207" s="29">
        <f t="shared" si="335"/>
        <v>1250000</v>
      </c>
      <c r="P207" s="29">
        <f t="shared" si="335"/>
        <v>1225000</v>
      </c>
      <c r="Q207" s="29">
        <f t="shared" si="335"/>
        <v>1200000</v>
      </c>
      <c r="R207" s="29">
        <f t="shared" si="335"/>
        <v>1175000</v>
      </c>
      <c r="S207" s="29">
        <f t="shared" si="335"/>
        <v>1150000</v>
      </c>
      <c r="T207" s="29">
        <f t="shared" si="335"/>
        <v>1125000</v>
      </c>
      <c r="U207" s="29">
        <f t="shared" si="335"/>
        <v>1100000</v>
      </c>
      <c r="V207" s="29">
        <f t="shared" si="335"/>
        <v>1075000</v>
      </c>
      <c r="W207" s="29">
        <f t="shared" si="335"/>
        <v>1050000</v>
      </c>
      <c r="X207" s="29">
        <f t="shared" si="335"/>
        <v>1025000</v>
      </c>
      <c r="Y207" s="29">
        <f t="shared" si="335"/>
        <v>1000000</v>
      </c>
      <c r="Z207" s="29">
        <f t="shared" si="335"/>
        <v>975000</v>
      </c>
    </row>
    <row r="208" spans="3:26" hidden="1" outlineLevel="1" x14ac:dyDescent="0.3">
      <c r="C208" s="25" t="s">
        <v>146</v>
      </c>
      <c r="D208" s="29">
        <f>D205</f>
        <v>1500000</v>
      </c>
      <c r="E208" s="29">
        <f t="shared" ref="E208" si="336">E207+E206</f>
        <v>1475000</v>
      </c>
      <c r="F208" s="29">
        <f t="shared" ref="F208" si="337">F207+F206</f>
        <v>1450000</v>
      </c>
      <c r="G208" s="29">
        <f t="shared" ref="G208" si="338">G207+G206</f>
        <v>1425000</v>
      </c>
      <c r="H208" s="29">
        <f t="shared" ref="H208" si="339">H207+H206</f>
        <v>1400000</v>
      </c>
      <c r="I208" s="29">
        <f t="shared" ref="I208" si="340">I207+I206</f>
        <v>1375000</v>
      </c>
      <c r="J208" s="29">
        <f t="shared" ref="J208" si="341">J207+J206</f>
        <v>1350000</v>
      </c>
      <c r="K208" s="29">
        <f t="shared" ref="K208" si="342">K207+K206</f>
        <v>1325000</v>
      </c>
      <c r="L208" s="29">
        <f t="shared" ref="L208" si="343">L207+L206</f>
        <v>1300000</v>
      </c>
      <c r="M208" s="29">
        <f t="shared" ref="M208" si="344">M207+M206</f>
        <v>1275000</v>
      </c>
      <c r="N208" s="29">
        <f t="shared" ref="N208" si="345">N207+N206</f>
        <v>1250000</v>
      </c>
      <c r="O208" s="29">
        <f t="shared" ref="O208" si="346">O207+O206</f>
        <v>1225000</v>
      </c>
      <c r="P208" s="29">
        <f t="shared" ref="P208" si="347">P207+P206</f>
        <v>1200000</v>
      </c>
      <c r="Q208" s="29">
        <f t="shared" ref="Q208" si="348">Q207+Q206</f>
        <v>1175000</v>
      </c>
      <c r="R208" s="29">
        <f t="shared" ref="R208" si="349">R207+R206</f>
        <v>1150000</v>
      </c>
      <c r="S208" s="29">
        <f t="shared" ref="S208" si="350">S207+S206</f>
        <v>1125000</v>
      </c>
      <c r="T208" s="29">
        <f t="shared" ref="T208" si="351">T207+T206</f>
        <v>1100000</v>
      </c>
      <c r="U208" s="29">
        <f t="shared" ref="U208" si="352">U207+U206</f>
        <v>1075000</v>
      </c>
      <c r="V208" s="29">
        <f t="shared" ref="V208" si="353">V207+V206</f>
        <v>1050000</v>
      </c>
      <c r="W208" s="29">
        <f t="shared" ref="W208" si="354">W207+W206</f>
        <v>1025000</v>
      </c>
      <c r="X208" s="29">
        <f t="shared" ref="X208" si="355">X207+X206</f>
        <v>1000000</v>
      </c>
      <c r="Y208" s="29">
        <f t="shared" ref="Y208" si="356">Y207+Y206</f>
        <v>975000</v>
      </c>
      <c r="Z208" s="29">
        <f t="shared" ref="Z208" si="357">Z207+Z206</f>
        <v>950000</v>
      </c>
    </row>
    <row r="209" spans="3:26" hidden="1" outlineLevel="1" x14ac:dyDescent="0.3">
      <c r="C209" s="25" t="s">
        <v>147</v>
      </c>
      <c r="D209" s="26">
        <v>60</v>
      </c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</row>
    <row r="210" spans="3:26" hidden="1" outlineLevel="1" x14ac:dyDescent="0.3"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</row>
    <row r="211" spans="3:26" hidden="1" outlineLevel="1" x14ac:dyDescent="0.3">
      <c r="C211" s="27" t="s">
        <v>151</v>
      </c>
      <c r="D211" s="29">
        <f>D162</f>
        <v>6000000</v>
      </c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</row>
    <row r="212" spans="3:26" hidden="1" outlineLevel="1" x14ac:dyDescent="0.3">
      <c r="C212" s="25" t="s">
        <v>144</v>
      </c>
      <c r="D212" s="29">
        <f>D211/D215</f>
        <v>100000</v>
      </c>
      <c r="E212" s="29">
        <f>-$D$212</f>
        <v>-100000</v>
      </c>
      <c r="F212" s="29">
        <f t="shared" ref="F212:Z212" si="358">-$D$212</f>
        <v>-100000</v>
      </c>
      <c r="G212" s="29">
        <f t="shared" si="358"/>
        <v>-100000</v>
      </c>
      <c r="H212" s="29">
        <f t="shared" si="358"/>
        <v>-100000</v>
      </c>
      <c r="I212" s="29">
        <f t="shared" si="358"/>
        <v>-100000</v>
      </c>
      <c r="J212" s="29">
        <f t="shared" si="358"/>
        <v>-100000</v>
      </c>
      <c r="K212" s="29">
        <f t="shared" si="358"/>
        <v>-100000</v>
      </c>
      <c r="L212" s="29">
        <f t="shared" si="358"/>
        <v>-100000</v>
      </c>
      <c r="M212" s="29">
        <f t="shared" si="358"/>
        <v>-100000</v>
      </c>
      <c r="N212" s="29">
        <f t="shared" si="358"/>
        <v>-100000</v>
      </c>
      <c r="O212" s="29">
        <f t="shared" si="358"/>
        <v>-100000</v>
      </c>
      <c r="P212" s="29">
        <f t="shared" si="358"/>
        <v>-100000</v>
      </c>
      <c r="Q212" s="29">
        <f t="shared" si="358"/>
        <v>-100000</v>
      </c>
      <c r="R212" s="29">
        <f t="shared" si="358"/>
        <v>-100000</v>
      </c>
      <c r="S212" s="29">
        <f t="shared" si="358"/>
        <v>-100000</v>
      </c>
      <c r="T212" s="29">
        <f t="shared" si="358"/>
        <v>-100000</v>
      </c>
      <c r="U212" s="29">
        <f t="shared" si="358"/>
        <v>-100000</v>
      </c>
      <c r="V212" s="29">
        <f t="shared" si="358"/>
        <v>-100000</v>
      </c>
      <c r="W212" s="29">
        <f t="shared" si="358"/>
        <v>-100000</v>
      </c>
      <c r="X212" s="29">
        <f t="shared" si="358"/>
        <v>-100000</v>
      </c>
      <c r="Y212" s="29">
        <f t="shared" si="358"/>
        <v>-100000</v>
      </c>
      <c r="Z212" s="29">
        <f t="shared" si="358"/>
        <v>-100000</v>
      </c>
    </row>
    <row r="213" spans="3:26" hidden="1" outlineLevel="1" x14ac:dyDescent="0.3">
      <c r="C213" s="25" t="s">
        <v>145</v>
      </c>
      <c r="D213" s="29"/>
      <c r="E213" s="29">
        <f t="shared" ref="E213:Z213" si="359">D214</f>
        <v>6000000</v>
      </c>
      <c r="F213" s="29">
        <f t="shared" si="359"/>
        <v>5900000</v>
      </c>
      <c r="G213" s="29">
        <f t="shared" si="359"/>
        <v>5800000</v>
      </c>
      <c r="H213" s="29">
        <f t="shared" si="359"/>
        <v>5700000</v>
      </c>
      <c r="I213" s="29">
        <f t="shared" si="359"/>
        <v>5600000</v>
      </c>
      <c r="J213" s="29">
        <f t="shared" si="359"/>
        <v>5500000</v>
      </c>
      <c r="K213" s="29">
        <f t="shared" si="359"/>
        <v>5400000</v>
      </c>
      <c r="L213" s="29">
        <f t="shared" si="359"/>
        <v>5300000</v>
      </c>
      <c r="M213" s="29">
        <f t="shared" si="359"/>
        <v>5200000</v>
      </c>
      <c r="N213" s="29">
        <f t="shared" si="359"/>
        <v>5100000</v>
      </c>
      <c r="O213" s="29">
        <f t="shared" si="359"/>
        <v>5000000</v>
      </c>
      <c r="P213" s="29">
        <f t="shared" si="359"/>
        <v>4900000</v>
      </c>
      <c r="Q213" s="29">
        <f t="shared" si="359"/>
        <v>4800000</v>
      </c>
      <c r="R213" s="29">
        <f t="shared" si="359"/>
        <v>4700000</v>
      </c>
      <c r="S213" s="29">
        <f t="shared" si="359"/>
        <v>4600000</v>
      </c>
      <c r="T213" s="29">
        <f t="shared" si="359"/>
        <v>4500000</v>
      </c>
      <c r="U213" s="29">
        <f t="shared" si="359"/>
        <v>4400000</v>
      </c>
      <c r="V213" s="29">
        <f t="shared" si="359"/>
        <v>4300000</v>
      </c>
      <c r="W213" s="29">
        <f t="shared" si="359"/>
        <v>4200000</v>
      </c>
      <c r="X213" s="29">
        <f t="shared" si="359"/>
        <v>4100000</v>
      </c>
      <c r="Y213" s="29">
        <f t="shared" si="359"/>
        <v>4000000</v>
      </c>
      <c r="Z213" s="29">
        <f t="shared" si="359"/>
        <v>3900000</v>
      </c>
    </row>
    <row r="214" spans="3:26" hidden="1" outlineLevel="1" x14ac:dyDescent="0.3">
      <c r="C214" s="25" t="s">
        <v>146</v>
      </c>
      <c r="D214" s="29">
        <f>D211</f>
        <v>6000000</v>
      </c>
      <c r="E214" s="29">
        <f t="shared" ref="E214" si="360">E213+E212</f>
        <v>5900000</v>
      </c>
      <c r="F214" s="29">
        <f t="shared" ref="F214" si="361">F213+F212</f>
        <v>5800000</v>
      </c>
      <c r="G214" s="29">
        <f t="shared" ref="G214" si="362">G213+G212</f>
        <v>5700000</v>
      </c>
      <c r="H214" s="29">
        <f t="shared" ref="H214" si="363">H213+H212</f>
        <v>5600000</v>
      </c>
      <c r="I214" s="29">
        <f t="shared" ref="I214" si="364">I213+I212</f>
        <v>5500000</v>
      </c>
      <c r="J214" s="29">
        <f t="shared" ref="J214" si="365">J213+J212</f>
        <v>5400000</v>
      </c>
      <c r="K214" s="29">
        <f t="shared" ref="K214" si="366">K213+K212</f>
        <v>5300000</v>
      </c>
      <c r="L214" s="29">
        <f t="shared" ref="L214" si="367">L213+L212</f>
        <v>5200000</v>
      </c>
      <c r="M214" s="29">
        <f t="shared" ref="M214" si="368">M213+M212</f>
        <v>5100000</v>
      </c>
      <c r="N214" s="29">
        <f t="shared" ref="N214" si="369">N213+N212</f>
        <v>5000000</v>
      </c>
      <c r="O214" s="29">
        <f t="shared" ref="O214" si="370">O213+O212</f>
        <v>4900000</v>
      </c>
      <c r="P214" s="29">
        <f t="shared" ref="P214" si="371">P213+P212</f>
        <v>4800000</v>
      </c>
      <c r="Q214" s="29">
        <f t="shared" ref="Q214" si="372">Q213+Q212</f>
        <v>4700000</v>
      </c>
      <c r="R214" s="29">
        <f t="shared" ref="R214" si="373">R213+R212</f>
        <v>4600000</v>
      </c>
      <c r="S214" s="29">
        <f t="shared" ref="S214" si="374">S213+S212</f>
        <v>4500000</v>
      </c>
      <c r="T214" s="29">
        <f t="shared" ref="T214" si="375">T213+T212</f>
        <v>4400000</v>
      </c>
      <c r="U214" s="29">
        <f t="shared" ref="U214" si="376">U213+U212</f>
        <v>4300000</v>
      </c>
      <c r="V214" s="29">
        <f t="shared" ref="V214" si="377">V213+V212</f>
        <v>4200000</v>
      </c>
      <c r="W214" s="29">
        <f t="shared" ref="W214" si="378">W213+W212</f>
        <v>4100000</v>
      </c>
      <c r="X214" s="29">
        <f t="shared" ref="X214" si="379">X213+X212</f>
        <v>4000000</v>
      </c>
      <c r="Y214" s="29">
        <f t="shared" ref="Y214" si="380">Y213+Y212</f>
        <v>3900000</v>
      </c>
      <c r="Z214" s="29">
        <f t="shared" ref="Z214" si="381">Z213+Z212</f>
        <v>3800000</v>
      </c>
    </row>
    <row r="215" spans="3:26" hidden="1" outlineLevel="1" x14ac:dyDescent="0.3">
      <c r="C215" s="25" t="s">
        <v>147</v>
      </c>
      <c r="D215" s="26">
        <v>60</v>
      </c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</row>
    <row r="216" spans="3:26" hidden="1" outlineLevel="1" x14ac:dyDescent="0.3"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</row>
    <row r="217" spans="3:26" hidden="1" outlineLevel="1" x14ac:dyDescent="0.3">
      <c r="C217" s="27" t="s">
        <v>152</v>
      </c>
      <c r="D217" s="29">
        <f>D166</f>
        <v>6000000</v>
      </c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</row>
    <row r="218" spans="3:26" hidden="1" outlineLevel="1" x14ac:dyDescent="0.3">
      <c r="C218" s="25" t="s">
        <v>144</v>
      </c>
      <c r="D218" s="29">
        <f>D217/D221</f>
        <v>100000</v>
      </c>
      <c r="E218" s="29">
        <f>-$D$218</f>
        <v>-100000</v>
      </c>
      <c r="F218" s="29">
        <f t="shared" ref="F218:Z218" si="382">-$D$218</f>
        <v>-100000</v>
      </c>
      <c r="G218" s="29">
        <f t="shared" si="382"/>
        <v>-100000</v>
      </c>
      <c r="H218" s="29">
        <f t="shared" si="382"/>
        <v>-100000</v>
      </c>
      <c r="I218" s="29">
        <f t="shared" si="382"/>
        <v>-100000</v>
      </c>
      <c r="J218" s="29">
        <f t="shared" si="382"/>
        <v>-100000</v>
      </c>
      <c r="K218" s="29">
        <f t="shared" si="382"/>
        <v>-100000</v>
      </c>
      <c r="L218" s="29">
        <f t="shared" si="382"/>
        <v>-100000</v>
      </c>
      <c r="M218" s="29">
        <f t="shared" si="382"/>
        <v>-100000</v>
      </c>
      <c r="N218" s="29">
        <f t="shared" si="382"/>
        <v>-100000</v>
      </c>
      <c r="O218" s="29">
        <f t="shared" si="382"/>
        <v>-100000</v>
      </c>
      <c r="P218" s="29">
        <f t="shared" si="382"/>
        <v>-100000</v>
      </c>
      <c r="Q218" s="29">
        <f t="shared" si="382"/>
        <v>-100000</v>
      </c>
      <c r="R218" s="29">
        <f t="shared" si="382"/>
        <v>-100000</v>
      </c>
      <c r="S218" s="29">
        <f t="shared" si="382"/>
        <v>-100000</v>
      </c>
      <c r="T218" s="29">
        <f t="shared" si="382"/>
        <v>-100000</v>
      </c>
      <c r="U218" s="29">
        <f t="shared" si="382"/>
        <v>-100000</v>
      </c>
      <c r="V218" s="29">
        <f t="shared" si="382"/>
        <v>-100000</v>
      </c>
      <c r="W218" s="29">
        <f t="shared" si="382"/>
        <v>-100000</v>
      </c>
      <c r="X218" s="29">
        <f t="shared" si="382"/>
        <v>-100000</v>
      </c>
      <c r="Y218" s="29">
        <f t="shared" si="382"/>
        <v>-100000</v>
      </c>
      <c r="Z218" s="29">
        <f t="shared" si="382"/>
        <v>-100000</v>
      </c>
    </row>
    <row r="219" spans="3:26" hidden="1" outlineLevel="1" x14ac:dyDescent="0.3">
      <c r="C219" s="25" t="s">
        <v>145</v>
      </c>
      <c r="D219" s="29"/>
      <c r="E219" s="29">
        <f t="shared" ref="E219:Z219" si="383">D220</f>
        <v>6000000</v>
      </c>
      <c r="F219" s="29">
        <f t="shared" si="383"/>
        <v>5900000</v>
      </c>
      <c r="G219" s="29">
        <f t="shared" si="383"/>
        <v>5800000</v>
      </c>
      <c r="H219" s="29">
        <f t="shared" si="383"/>
        <v>5700000</v>
      </c>
      <c r="I219" s="29">
        <f t="shared" si="383"/>
        <v>5600000</v>
      </c>
      <c r="J219" s="29">
        <f t="shared" si="383"/>
        <v>5500000</v>
      </c>
      <c r="K219" s="29">
        <f t="shared" si="383"/>
        <v>5400000</v>
      </c>
      <c r="L219" s="29">
        <f t="shared" si="383"/>
        <v>5300000</v>
      </c>
      <c r="M219" s="29">
        <f t="shared" si="383"/>
        <v>5200000</v>
      </c>
      <c r="N219" s="29">
        <f t="shared" si="383"/>
        <v>5100000</v>
      </c>
      <c r="O219" s="29">
        <f t="shared" si="383"/>
        <v>5000000</v>
      </c>
      <c r="P219" s="29">
        <f t="shared" si="383"/>
        <v>4900000</v>
      </c>
      <c r="Q219" s="29">
        <f t="shared" si="383"/>
        <v>4800000</v>
      </c>
      <c r="R219" s="29">
        <f t="shared" si="383"/>
        <v>4700000</v>
      </c>
      <c r="S219" s="29">
        <f t="shared" si="383"/>
        <v>4600000</v>
      </c>
      <c r="T219" s="29">
        <f t="shared" si="383"/>
        <v>4500000</v>
      </c>
      <c r="U219" s="29">
        <f t="shared" si="383"/>
        <v>4400000</v>
      </c>
      <c r="V219" s="29">
        <f t="shared" si="383"/>
        <v>4300000</v>
      </c>
      <c r="W219" s="29">
        <f t="shared" si="383"/>
        <v>4200000</v>
      </c>
      <c r="X219" s="29">
        <f t="shared" si="383"/>
        <v>4100000</v>
      </c>
      <c r="Y219" s="29">
        <f t="shared" si="383"/>
        <v>4000000</v>
      </c>
      <c r="Z219" s="29">
        <f t="shared" si="383"/>
        <v>3900000</v>
      </c>
    </row>
    <row r="220" spans="3:26" hidden="1" outlineLevel="1" x14ac:dyDescent="0.3">
      <c r="C220" s="25" t="s">
        <v>146</v>
      </c>
      <c r="D220" s="29">
        <f>D217</f>
        <v>6000000</v>
      </c>
      <c r="E220" s="29">
        <f t="shared" ref="E220" si="384">E219+E218</f>
        <v>5900000</v>
      </c>
      <c r="F220" s="29">
        <f t="shared" ref="F220" si="385">F219+F218</f>
        <v>5800000</v>
      </c>
      <c r="G220" s="29">
        <f t="shared" ref="G220" si="386">G219+G218</f>
        <v>5700000</v>
      </c>
      <c r="H220" s="29">
        <f t="shared" ref="H220" si="387">H219+H218</f>
        <v>5600000</v>
      </c>
      <c r="I220" s="29">
        <f t="shared" ref="I220" si="388">I219+I218</f>
        <v>5500000</v>
      </c>
      <c r="J220" s="29">
        <f t="shared" ref="J220" si="389">J219+J218</f>
        <v>5400000</v>
      </c>
      <c r="K220" s="29">
        <f t="shared" ref="K220" si="390">K219+K218</f>
        <v>5300000</v>
      </c>
      <c r="L220" s="29">
        <f t="shared" ref="L220" si="391">L219+L218</f>
        <v>5200000</v>
      </c>
      <c r="M220" s="29">
        <f t="shared" ref="M220" si="392">M219+M218</f>
        <v>5100000</v>
      </c>
      <c r="N220" s="29">
        <f t="shared" ref="N220" si="393">N219+N218</f>
        <v>5000000</v>
      </c>
      <c r="O220" s="29">
        <f t="shared" ref="O220" si="394">O219+O218</f>
        <v>4900000</v>
      </c>
      <c r="P220" s="29">
        <f t="shared" ref="P220" si="395">P219+P218</f>
        <v>4800000</v>
      </c>
      <c r="Q220" s="29">
        <f t="shared" ref="Q220" si="396">Q219+Q218</f>
        <v>4700000</v>
      </c>
      <c r="R220" s="29">
        <f t="shared" ref="R220" si="397">R219+R218</f>
        <v>4600000</v>
      </c>
      <c r="S220" s="29">
        <f t="shared" ref="S220" si="398">S219+S218</f>
        <v>4500000</v>
      </c>
      <c r="T220" s="29">
        <f t="shared" ref="T220" si="399">T219+T218</f>
        <v>4400000</v>
      </c>
      <c r="U220" s="29">
        <f t="shared" ref="U220" si="400">U219+U218</f>
        <v>4300000</v>
      </c>
      <c r="V220" s="29">
        <f t="shared" ref="V220" si="401">V219+V218</f>
        <v>4200000</v>
      </c>
      <c r="W220" s="29">
        <f t="shared" ref="W220" si="402">W219+W218</f>
        <v>4100000</v>
      </c>
      <c r="X220" s="29">
        <f t="shared" ref="X220" si="403">X219+X218</f>
        <v>4000000</v>
      </c>
      <c r="Y220" s="29">
        <f t="shared" ref="Y220" si="404">Y219+Y218</f>
        <v>3900000</v>
      </c>
      <c r="Z220" s="29">
        <f t="shared" ref="Z220" si="405">Z219+Z218</f>
        <v>3800000</v>
      </c>
    </row>
    <row r="221" spans="3:26" hidden="1" outlineLevel="1" x14ac:dyDescent="0.3">
      <c r="C221" s="25" t="s">
        <v>147</v>
      </c>
      <c r="D221" s="26">
        <v>60</v>
      </c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</row>
    <row r="222" spans="3:26" hidden="1" outlineLevel="1" x14ac:dyDescent="0.3"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</row>
    <row r="223" spans="3:26" hidden="1" outlineLevel="1" x14ac:dyDescent="0.3">
      <c r="C223" s="27" t="s">
        <v>153</v>
      </c>
      <c r="D223" s="29">
        <f>D170</f>
        <v>3000000</v>
      </c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</row>
    <row r="224" spans="3:26" hidden="1" outlineLevel="1" x14ac:dyDescent="0.3">
      <c r="C224" s="25" t="s">
        <v>144</v>
      </c>
      <c r="D224" s="29">
        <f>D223/D227</f>
        <v>50000</v>
      </c>
      <c r="E224" s="29">
        <f>-$D$224</f>
        <v>-50000</v>
      </c>
      <c r="F224" s="29">
        <f t="shared" ref="F224:Z224" si="406">-$D$224</f>
        <v>-50000</v>
      </c>
      <c r="G224" s="29">
        <f t="shared" si="406"/>
        <v>-50000</v>
      </c>
      <c r="H224" s="29">
        <f t="shared" si="406"/>
        <v>-50000</v>
      </c>
      <c r="I224" s="29">
        <f t="shared" si="406"/>
        <v>-50000</v>
      </c>
      <c r="J224" s="29">
        <f t="shared" si="406"/>
        <v>-50000</v>
      </c>
      <c r="K224" s="29">
        <f t="shared" si="406"/>
        <v>-50000</v>
      </c>
      <c r="L224" s="29">
        <f t="shared" si="406"/>
        <v>-50000</v>
      </c>
      <c r="M224" s="29">
        <f t="shared" si="406"/>
        <v>-50000</v>
      </c>
      <c r="N224" s="29">
        <f t="shared" si="406"/>
        <v>-50000</v>
      </c>
      <c r="O224" s="29">
        <f t="shared" si="406"/>
        <v>-50000</v>
      </c>
      <c r="P224" s="29">
        <f t="shared" si="406"/>
        <v>-50000</v>
      </c>
      <c r="Q224" s="29">
        <f t="shared" si="406"/>
        <v>-50000</v>
      </c>
      <c r="R224" s="29">
        <f t="shared" si="406"/>
        <v>-50000</v>
      </c>
      <c r="S224" s="29">
        <f t="shared" si="406"/>
        <v>-50000</v>
      </c>
      <c r="T224" s="29">
        <f t="shared" si="406"/>
        <v>-50000</v>
      </c>
      <c r="U224" s="29">
        <f t="shared" si="406"/>
        <v>-50000</v>
      </c>
      <c r="V224" s="29">
        <f t="shared" si="406"/>
        <v>-50000</v>
      </c>
      <c r="W224" s="29">
        <f t="shared" si="406"/>
        <v>-50000</v>
      </c>
      <c r="X224" s="29">
        <f t="shared" si="406"/>
        <v>-50000</v>
      </c>
      <c r="Y224" s="29">
        <f t="shared" si="406"/>
        <v>-50000</v>
      </c>
      <c r="Z224" s="29">
        <f t="shared" si="406"/>
        <v>-50000</v>
      </c>
    </row>
    <row r="225" spans="3:26" hidden="1" outlineLevel="1" x14ac:dyDescent="0.3">
      <c r="C225" s="25" t="s">
        <v>145</v>
      </c>
      <c r="D225" s="29"/>
      <c r="E225" s="29">
        <f t="shared" ref="E225:Z225" si="407">D226</f>
        <v>3000000</v>
      </c>
      <c r="F225" s="29">
        <f t="shared" si="407"/>
        <v>2950000</v>
      </c>
      <c r="G225" s="29">
        <f t="shared" si="407"/>
        <v>2900000</v>
      </c>
      <c r="H225" s="29">
        <f t="shared" si="407"/>
        <v>2850000</v>
      </c>
      <c r="I225" s="29">
        <f t="shared" si="407"/>
        <v>2800000</v>
      </c>
      <c r="J225" s="29">
        <f t="shared" si="407"/>
        <v>2750000</v>
      </c>
      <c r="K225" s="29">
        <f t="shared" si="407"/>
        <v>2700000</v>
      </c>
      <c r="L225" s="29">
        <f t="shared" si="407"/>
        <v>2650000</v>
      </c>
      <c r="M225" s="29">
        <f t="shared" si="407"/>
        <v>2600000</v>
      </c>
      <c r="N225" s="29">
        <f t="shared" si="407"/>
        <v>2550000</v>
      </c>
      <c r="O225" s="29">
        <f t="shared" si="407"/>
        <v>2500000</v>
      </c>
      <c r="P225" s="29">
        <f t="shared" si="407"/>
        <v>2450000</v>
      </c>
      <c r="Q225" s="29">
        <f t="shared" si="407"/>
        <v>2400000</v>
      </c>
      <c r="R225" s="29">
        <f t="shared" si="407"/>
        <v>2350000</v>
      </c>
      <c r="S225" s="29">
        <f t="shared" si="407"/>
        <v>2300000</v>
      </c>
      <c r="T225" s="29">
        <f t="shared" si="407"/>
        <v>2250000</v>
      </c>
      <c r="U225" s="29">
        <f t="shared" si="407"/>
        <v>2200000</v>
      </c>
      <c r="V225" s="29">
        <f t="shared" si="407"/>
        <v>2150000</v>
      </c>
      <c r="W225" s="29">
        <f t="shared" si="407"/>
        <v>2100000</v>
      </c>
      <c r="X225" s="29">
        <f t="shared" si="407"/>
        <v>2050000</v>
      </c>
      <c r="Y225" s="29">
        <f t="shared" si="407"/>
        <v>2000000</v>
      </c>
      <c r="Z225" s="29">
        <f t="shared" si="407"/>
        <v>1950000</v>
      </c>
    </row>
    <row r="226" spans="3:26" hidden="1" outlineLevel="1" x14ac:dyDescent="0.3">
      <c r="C226" s="25" t="s">
        <v>146</v>
      </c>
      <c r="D226" s="29">
        <f>D223</f>
        <v>3000000</v>
      </c>
      <c r="E226" s="29">
        <f t="shared" ref="E226" si="408">E225+E224</f>
        <v>2950000</v>
      </c>
      <c r="F226" s="29">
        <f t="shared" ref="F226" si="409">F225+F224</f>
        <v>2900000</v>
      </c>
      <c r="G226" s="29">
        <f t="shared" ref="G226" si="410">G225+G224</f>
        <v>2850000</v>
      </c>
      <c r="H226" s="29">
        <f t="shared" ref="H226" si="411">H225+H224</f>
        <v>2800000</v>
      </c>
      <c r="I226" s="29">
        <f t="shared" ref="I226" si="412">I225+I224</f>
        <v>2750000</v>
      </c>
      <c r="J226" s="29">
        <f t="shared" ref="J226" si="413">J225+J224</f>
        <v>2700000</v>
      </c>
      <c r="K226" s="29">
        <f t="shared" ref="K226" si="414">K225+K224</f>
        <v>2650000</v>
      </c>
      <c r="L226" s="29">
        <f t="shared" ref="L226" si="415">L225+L224</f>
        <v>2600000</v>
      </c>
      <c r="M226" s="29">
        <f t="shared" ref="M226" si="416">M225+M224</f>
        <v>2550000</v>
      </c>
      <c r="N226" s="29">
        <f t="shared" ref="N226" si="417">N225+N224</f>
        <v>2500000</v>
      </c>
      <c r="O226" s="29">
        <f t="shared" ref="O226" si="418">O225+O224</f>
        <v>2450000</v>
      </c>
      <c r="P226" s="29">
        <f t="shared" ref="P226" si="419">P225+P224</f>
        <v>2400000</v>
      </c>
      <c r="Q226" s="29">
        <f t="shared" ref="Q226" si="420">Q225+Q224</f>
        <v>2350000</v>
      </c>
      <c r="R226" s="29">
        <f t="shared" ref="R226" si="421">R225+R224</f>
        <v>2300000</v>
      </c>
      <c r="S226" s="29">
        <f t="shared" ref="S226" si="422">S225+S224</f>
        <v>2250000</v>
      </c>
      <c r="T226" s="29">
        <f t="shared" ref="T226" si="423">T225+T224</f>
        <v>2200000</v>
      </c>
      <c r="U226" s="29">
        <f t="shared" ref="U226" si="424">U225+U224</f>
        <v>2150000</v>
      </c>
      <c r="V226" s="29">
        <f t="shared" ref="V226" si="425">V225+V224</f>
        <v>2100000</v>
      </c>
      <c r="W226" s="29">
        <f t="shared" ref="W226" si="426">W225+W224</f>
        <v>2050000</v>
      </c>
      <c r="X226" s="29">
        <f t="shared" ref="X226" si="427">X225+X224</f>
        <v>2000000</v>
      </c>
      <c r="Y226" s="29">
        <f t="shared" ref="Y226" si="428">Y225+Y224</f>
        <v>1950000</v>
      </c>
      <c r="Z226" s="29">
        <f t="shared" ref="Z226" si="429">Z225+Z224</f>
        <v>1900000</v>
      </c>
    </row>
    <row r="227" spans="3:26" hidden="1" outlineLevel="1" x14ac:dyDescent="0.3">
      <c r="C227" s="25" t="s">
        <v>147</v>
      </c>
      <c r="D227" s="26">
        <v>60</v>
      </c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</row>
    <row r="228" spans="3:26" hidden="1" outlineLevel="1" x14ac:dyDescent="0.3"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</row>
    <row r="229" spans="3:26" hidden="1" outlineLevel="1" x14ac:dyDescent="0.3">
      <c r="C229" s="27" t="s">
        <v>154</v>
      </c>
      <c r="D229" s="29">
        <f>D174</f>
        <v>2000000.0000000002</v>
      </c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</row>
    <row r="230" spans="3:26" hidden="1" outlineLevel="1" x14ac:dyDescent="0.3">
      <c r="C230" s="25" t="s">
        <v>144</v>
      </c>
      <c r="D230" s="29">
        <f>D229/D233</f>
        <v>33333.333333333336</v>
      </c>
      <c r="E230" s="29">
        <f>-$D$230</f>
        <v>-33333.333333333336</v>
      </c>
      <c r="F230" s="29">
        <f t="shared" ref="F230:Z230" si="430">-$D$230</f>
        <v>-33333.333333333336</v>
      </c>
      <c r="G230" s="29">
        <f t="shared" si="430"/>
        <v>-33333.333333333336</v>
      </c>
      <c r="H230" s="29">
        <f t="shared" si="430"/>
        <v>-33333.333333333336</v>
      </c>
      <c r="I230" s="29">
        <f t="shared" si="430"/>
        <v>-33333.333333333336</v>
      </c>
      <c r="J230" s="29">
        <f t="shared" si="430"/>
        <v>-33333.333333333336</v>
      </c>
      <c r="K230" s="29">
        <f t="shared" si="430"/>
        <v>-33333.333333333336</v>
      </c>
      <c r="L230" s="29">
        <f t="shared" si="430"/>
        <v>-33333.333333333336</v>
      </c>
      <c r="M230" s="29">
        <f t="shared" si="430"/>
        <v>-33333.333333333336</v>
      </c>
      <c r="N230" s="29">
        <f t="shared" si="430"/>
        <v>-33333.333333333336</v>
      </c>
      <c r="O230" s="29">
        <f t="shared" si="430"/>
        <v>-33333.333333333336</v>
      </c>
      <c r="P230" s="29">
        <f t="shared" si="430"/>
        <v>-33333.333333333336</v>
      </c>
      <c r="Q230" s="29">
        <f t="shared" si="430"/>
        <v>-33333.333333333336</v>
      </c>
      <c r="R230" s="29">
        <f t="shared" si="430"/>
        <v>-33333.333333333336</v>
      </c>
      <c r="S230" s="29">
        <f t="shared" si="430"/>
        <v>-33333.333333333336</v>
      </c>
      <c r="T230" s="29">
        <f t="shared" si="430"/>
        <v>-33333.333333333336</v>
      </c>
      <c r="U230" s="29">
        <f t="shared" si="430"/>
        <v>-33333.333333333336</v>
      </c>
      <c r="V230" s="29">
        <f t="shared" si="430"/>
        <v>-33333.333333333336</v>
      </c>
      <c r="W230" s="29">
        <f t="shared" si="430"/>
        <v>-33333.333333333336</v>
      </c>
      <c r="X230" s="29">
        <f t="shared" si="430"/>
        <v>-33333.333333333336</v>
      </c>
      <c r="Y230" s="29">
        <f t="shared" si="430"/>
        <v>-33333.333333333336</v>
      </c>
      <c r="Z230" s="29">
        <f t="shared" si="430"/>
        <v>-33333.333333333336</v>
      </c>
    </row>
    <row r="231" spans="3:26" hidden="1" outlineLevel="1" x14ac:dyDescent="0.3">
      <c r="C231" s="25" t="s">
        <v>145</v>
      </c>
      <c r="D231" s="29"/>
      <c r="E231" s="29">
        <f t="shared" ref="E231:Z231" si="431">D232</f>
        <v>2000000.0000000002</v>
      </c>
      <c r="F231" s="29">
        <f t="shared" si="431"/>
        <v>1966666.666666667</v>
      </c>
      <c r="G231" s="29">
        <f t="shared" si="431"/>
        <v>1933333.3333333337</v>
      </c>
      <c r="H231" s="29">
        <f t="shared" si="431"/>
        <v>1900000.0000000005</v>
      </c>
      <c r="I231" s="29">
        <f t="shared" si="431"/>
        <v>1866666.6666666672</v>
      </c>
      <c r="J231" s="29">
        <f t="shared" si="431"/>
        <v>1833333.333333334</v>
      </c>
      <c r="K231" s="29">
        <f t="shared" si="431"/>
        <v>1800000.0000000007</v>
      </c>
      <c r="L231" s="29">
        <f t="shared" si="431"/>
        <v>1766666.6666666674</v>
      </c>
      <c r="M231" s="29">
        <f t="shared" si="431"/>
        <v>1733333.3333333342</v>
      </c>
      <c r="N231" s="29">
        <f t="shared" si="431"/>
        <v>1700000.0000000009</v>
      </c>
      <c r="O231" s="29">
        <f t="shared" si="431"/>
        <v>1666666.6666666677</v>
      </c>
      <c r="P231" s="29">
        <f t="shared" si="431"/>
        <v>1633333.3333333344</v>
      </c>
      <c r="Q231" s="29">
        <f t="shared" si="431"/>
        <v>1600000.0000000012</v>
      </c>
      <c r="R231" s="29">
        <f t="shared" si="431"/>
        <v>1566666.6666666679</v>
      </c>
      <c r="S231" s="29">
        <f t="shared" si="431"/>
        <v>1533333.3333333347</v>
      </c>
      <c r="T231" s="29">
        <f t="shared" si="431"/>
        <v>1500000.0000000014</v>
      </c>
      <c r="U231" s="29">
        <f t="shared" si="431"/>
        <v>1466666.6666666681</v>
      </c>
      <c r="V231" s="29">
        <f t="shared" si="431"/>
        <v>1433333.3333333349</v>
      </c>
      <c r="W231" s="29">
        <f t="shared" si="431"/>
        <v>1400000.0000000016</v>
      </c>
      <c r="X231" s="29">
        <f t="shared" si="431"/>
        <v>1366666.6666666684</v>
      </c>
      <c r="Y231" s="29">
        <f t="shared" si="431"/>
        <v>1333333.3333333351</v>
      </c>
      <c r="Z231" s="29">
        <f t="shared" si="431"/>
        <v>1300000.0000000019</v>
      </c>
    </row>
    <row r="232" spans="3:26" hidden="1" outlineLevel="1" x14ac:dyDescent="0.3">
      <c r="C232" s="25" t="s">
        <v>146</v>
      </c>
      <c r="D232" s="29">
        <f>D229</f>
        <v>2000000.0000000002</v>
      </c>
      <c r="E232" s="29">
        <f t="shared" ref="E232" si="432">E231+E230</f>
        <v>1966666.666666667</v>
      </c>
      <c r="F232" s="29">
        <f t="shared" ref="F232" si="433">F231+F230</f>
        <v>1933333.3333333337</v>
      </c>
      <c r="G232" s="29">
        <f t="shared" ref="G232" si="434">G231+G230</f>
        <v>1900000.0000000005</v>
      </c>
      <c r="H232" s="29">
        <f t="shared" ref="H232" si="435">H231+H230</f>
        <v>1866666.6666666672</v>
      </c>
      <c r="I232" s="29">
        <f t="shared" ref="I232" si="436">I231+I230</f>
        <v>1833333.333333334</v>
      </c>
      <c r="J232" s="29">
        <f t="shared" ref="J232" si="437">J231+J230</f>
        <v>1800000.0000000007</v>
      </c>
      <c r="K232" s="29">
        <f t="shared" ref="K232" si="438">K231+K230</f>
        <v>1766666.6666666674</v>
      </c>
      <c r="L232" s="29">
        <f t="shared" ref="L232" si="439">L231+L230</f>
        <v>1733333.3333333342</v>
      </c>
      <c r="M232" s="29">
        <f t="shared" ref="M232" si="440">M231+M230</f>
        <v>1700000.0000000009</v>
      </c>
      <c r="N232" s="29">
        <f t="shared" ref="N232" si="441">N231+N230</f>
        <v>1666666.6666666677</v>
      </c>
      <c r="O232" s="29">
        <f t="shared" ref="O232" si="442">O231+O230</f>
        <v>1633333.3333333344</v>
      </c>
      <c r="P232" s="29">
        <f t="shared" ref="P232" si="443">P231+P230</f>
        <v>1600000.0000000012</v>
      </c>
      <c r="Q232" s="29">
        <f t="shared" ref="Q232" si="444">Q231+Q230</f>
        <v>1566666.6666666679</v>
      </c>
      <c r="R232" s="29">
        <f t="shared" ref="R232" si="445">R231+R230</f>
        <v>1533333.3333333347</v>
      </c>
      <c r="S232" s="29">
        <f t="shared" ref="S232" si="446">S231+S230</f>
        <v>1500000.0000000014</v>
      </c>
      <c r="T232" s="29">
        <f t="shared" ref="T232" si="447">T231+T230</f>
        <v>1466666.6666666681</v>
      </c>
      <c r="U232" s="29">
        <f t="shared" ref="U232" si="448">U231+U230</f>
        <v>1433333.3333333349</v>
      </c>
      <c r="V232" s="29">
        <f t="shared" ref="V232" si="449">V231+V230</f>
        <v>1400000.0000000016</v>
      </c>
      <c r="W232" s="29">
        <f t="shared" ref="W232" si="450">W231+W230</f>
        <v>1366666.6666666684</v>
      </c>
      <c r="X232" s="29">
        <f t="shared" ref="X232" si="451">X231+X230</f>
        <v>1333333.3333333351</v>
      </c>
      <c r="Y232" s="29">
        <f t="shared" ref="Y232" si="452">Y231+Y230</f>
        <v>1300000.0000000019</v>
      </c>
      <c r="Z232" s="29">
        <f t="shared" ref="Z232" si="453">Z231+Z230</f>
        <v>1266666.6666666686</v>
      </c>
    </row>
    <row r="233" spans="3:26" hidden="1" outlineLevel="1" x14ac:dyDescent="0.3">
      <c r="C233" s="25" t="s">
        <v>147</v>
      </c>
      <c r="D233" s="26">
        <v>60</v>
      </c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</row>
    <row r="234" spans="3:26" hidden="1" outlineLevel="1" x14ac:dyDescent="0.3"/>
    <row r="236" spans="3:26" x14ac:dyDescent="0.3">
      <c r="C236" s="2" t="s">
        <v>155</v>
      </c>
      <c r="E236" s="4">
        <f>E241+E247-E266</f>
        <v>800000</v>
      </c>
    </row>
    <row r="237" spans="3:26" x14ac:dyDescent="0.3">
      <c r="C237" s="1" t="s">
        <v>156</v>
      </c>
      <c r="E237" s="32">
        <f>E242+E248-E267</f>
        <v>300000</v>
      </c>
    </row>
    <row r="238" spans="3:26" x14ac:dyDescent="0.3">
      <c r="C238" s="1" t="s">
        <v>157</v>
      </c>
    </row>
    <row r="239" spans="3:26" x14ac:dyDescent="0.3">
      <c r="C239" s="24" t="s">
        <v>158</v>
      </c>
      <c r="D239">
        <v>15</v>
      </c>
    </row>
    <row r="240" spans="3:26" x14ac:dyDescent="0.3">
      <c r="C240" s="24" t="s">
        <v>159</v>
      </c>
      <c r="E240" s="3">
        <f>D241</f>
        <v>400000</v>
      </c>
    </row>
    <row r="241" spans="3:5" x14ac:dyDescent="0.3">
      <c r="C241" s="24" t="s">
        <v>160</v>
      </c>
      <c r="D241" s="3">
        <v>400000</v>
      </c>
      <c r="E241" s="3">
        <f>-E5*D239/30</f>
        <v>800000</v>
      </c>
    </row>
    <row r="242" spans="3:5" x14ac:dyDescent="0.3">
      <c r="C242" s="24" t="s">
        <v>161</v>
      </c>
      <c r="E242" s="3">
        <f>E241-E240</f>
        <v>400000</v>
      </c>
    </row>
    <row r="244" spans="3:5" x14ac:dyDescent="0.3">
      <c r="C244" s="1" t="s">
        <v>162</v>
      </c>
    </row>
    <row r="245" spans="3:5" x14ac:dyDescent="0.3">
      <c r="C245" s="24" t="s">
        <v>163</v>
      </c>
    </row>
    <row r="246" spans="3:5" x14ac:dyDescent="0.3">
      <c r="C246" s="24" t="s">
        <v>164</v>
      </c>
      <c r="D246" s="3">
        <f>SUMIFS(D$250:D$260,$C$250:$C$260,$C246)</f>
        <v>0</v>
      </c>
      <c r="E246" s="3">
        <f t="shared" ref="E246:E247" si="454">SUMIFS(E$250:E$260,$C$250:$C$260,$C246)</f>
        <v>200000</v>
      </c>
    </row>
    <row r="247" spans="3:5" x14ac:dyDescent="0.3">
      <c r="C247" s="24" t="s">
        <v>165</v>
      </c>
      <c r="D247" s="3">
        <f>SUMIFS(D$250:D$260,$C$250:$C$260,$C247)</f>
        <v>200000</v>
      </c>
      <c r="E247" s="3">
        <f t="shared" si="454"/>
        <v>800000</v>
      </c>
    </row>
    <row r="248" spans="3:5" collapsed="1" x14ac:dyDescent="0.3">
      <c r="C248" s="24" t="s">
        <v>166</v>
      </c>
      <c r="E248" s="3">
        <f>SUMIFS(E$250:E$260,$C$250:$C$260,$C248)</f>
        <v>600000</v>
      </c>
    </row>
    <row r="249" spans="3:5" hidden="1" outlineLevel="1" x14ac:dyDescent="0.3"/>
    <row r="250" spans="3:5" hidden="1" outlineLevel="1" x14ac:dyDescent="0.3">
      <c r="C250" s="1" t="s">
        <v>167</v>
      </c>
    </row>
    <row r="251" spans="3:5" hidden="1" outlineLevel="1" x14ac:dyDescent="0.3">
      <c r="C251" s="24" t="s">
        <v>163</v>
      </c>
      <c r="D251">
        <v>15</v>
      </c>
    </row>
    <row r="252" spans="3:5" hidden="1" outlineLevel="1" x14ac:dyDescent="0.3">
      <c r="C252" s="24" t="s">
        <v>164</v>
      </c>
      <c r="D252" s="3"/>
      <c r="E252" s="3">
        <f>D253</f>
        <v>200000</v>
      </c>
    </row>
    <row r="253" spans="3:5" hidden="1" outlineLevel="1" x14ac:dyDescent="0.3">
      <c r="C253" s="24" t="s">
        <v>165</v>
      </c>
      <c r="D253" s="3">
        <v>200000</v>
      </c>
      <c r="E253" s="3">
        <f>-E4*D251/30</f>
        <v>800000</v>
      </c>
    </row>
    <row r="254" spans="3:5" hidden="1" outlineLevel="1" x14ac:dyDescent="0.3">
      <c r="C254" s="24" t="s">
        <v>166</v>
      </c>
      <c r="E254" s="3">
        <f>E253-E252</f>
        <v>600000</v>
      </c>
    </row>
    <row r="255" spans="3:5" hidden="1" outlineLevel="1" x14ac:dyDescent="0.3"/>
    <row r="256" spans="3:5" hidden="1" outlineLevel="1" x14ac:dyDescent="0.3">
      <c r="C256" s="1" t="s">
        <v>168</v>
      </c>
    </row>
    <row r="257" spans="3:8" hidden="1" outlineLevel="1" x14ac:dyDescent="0.3">
      <c r="C257" s="24" t="s">
        <v>163</v>
      </c>
      <c r="D257">
        <v>0</v>
      </c>
    </row>
    <row r="258" spans="3:8" hidden="1" outlineLevel="1" x14ac:dyDescent="0.3">
      <c r="C258" s="24" t="s">
        <v>164</v>
      </c>
      <c r="D258" s="3"/>
      <c r="E258" s="3">
        <f>D259</f>
        <v>0</v>
      </c>
    </row>
    <row r="259" spans="3:8" hidden="1" outlineLevel="1" x14ac:dyDescent="0.3">
      <c r="C259" s="24" t="s">
        <v>165</v>
      </c>
      <c r="D259" s="3">
        <v>0</v>
      </c>
      <c r="E259" s="3">
        <f>-E4*D257/30</f>
        <v>0</v>
      </c>
    </row>
    <row r="260" spans="3:8" hidden="1" outlineLevel="1" x14ac:dyDescent="0.3">
      <c r="C260" s="24" t="s">
        <v>166</v>
      </c>
      <c r="E260" s="3">
        <f>E259-E258</f>
        <v>0</v>
      </c>
    </row>
    <row r="261" spans="3:8" hidden="1" outlineLevel="1" x14ac:dyDescent="0.3"/>
    <row r="263" spans="3:8" x14ac:dyDescent="0.3">
      <c r="C263" s="1" t="s">
        <v>169</v>
      </c>
    </row>
    <row r="264" spans="3:8" x14ac:dyDescent="0.3">
      <c r="C264" s="24" t="s">
        <v>170</v>
      </c>
    </row>
    <row r="265" spans="3:8" x14ac:dyDescent="0.3">
      <c r="C265" s="24" t="s">
        <v>171</v>
      </c>
      <c r="D265" s="3">
        <f>SUMIFS(D$269:D$279,$C$269:$C$279,$C265)</f>
        <v>0</v>
      </c>
      <c r="E265" s="3">
        <f>SUMIFS(E$269:E$279,$C$269:$C$279,$C265)</f>
        <v>100000</v>
      </c>
    </row>
    <row r="266" spans="3:8" x14ac:dyDescent="0.3">
      <c r="C266" s="24" t="s">
        <v>172</v>
      </c>
      <c r="D266" s="3">
        <f>SUMIFS(D$269:D$279,$C$269:$C$279,$C266)</f>
        <v>100000</v>
      </c>
      <c r="E266" s="3">
        <f>SUMIFS(E$269:E$279,$C$269:$C$279,$C266)</f>
        <v>800000</v>
      </c>
    </row>
    <row r="267" spans="3:8" collapsed="1" x14ac:dyDescent="0.3">
      <c r="C267" s="24" t="s">
        <v>173</v>
      </c>
      <c r="E267" s="3">
        <f>SUMIFS(E$269:E$279,$C$269:$C$279,$C267)</f>
        <v>700000</v>
      </c>
    </row>
    <row r="268" spans="3:8" hidden="1" outlineLevel="1" x14ac:dyDescent="0.3"/>
    <row r="269" spans="3:8" hidden="1" outlineLevel="1" x14ac:dyDescent="0.3">
      <c r="C269" s="1" t="s">
        <v>174</v>
      </c>
    </row>
    <row r="270" spans="3:8" hidden="1" outlineLevel="1" x14ac:dyDescent="0.3">
      <c r="C270" s="24" t="s">
        <v>170</v>
      </c>
      <c r="D270">
        <v>0</v>
      </c>
    </row>
    <row r="271" spans="3:8" hidden="1" outlineLevel="1" x14ac:dyDescent="0.3">
      <c r="C271" s="24" t="s">
        <v>171</v>
      </c>
      <c r="D271" s="3"/>
      <c r="E271" s="3">
        <f>D272</f>
        <v>50000</v>
      </c>
      <c r="F271" s="3"/>
      <c r="G271" s="3"/>
      <c r="H271" s="3"/>
    </row>
    <row r="272" spans="3:8" hidden="1" outlineLevel="1" x14ac:dyDescent="0.3">
      <c r="C272" s="24" t="s">
        <v>172</v>
      </c>
      <c r="D272" s="3">
        <v>50000</v>
      </c>
      <c r="E272" s="3">
        <f>-E5*D270/30</f>
        <v>0</v>
      </c>
      <c r="F272" s="3"/>
      <c r="G272" s="3"/>
      <c r="H272" s="3"/>
    </row>
    <row r="273" spans="3:5" hidden="1" outlineLevel="1" x14ac:dyDescent="0.3">
      <c r="C273" s="24" t="s">
        <v>173</v>
      </c>
      <c r="E273" s="3">
        <f>E272-E271</f>
        <v>-50000</v>
      </c>
    </row>
    <row r="274" spans="3:5" hidden="1" outlineLevel="1" x14ac:dyDescent="0.3"/>
    <row r="275" spans="3:5" hidden="1" outlineLevel="1" x14ac:dyDescent="0.3">
      <c r="C275" s="1" t="s">
        <v>175</v>
      </c>
    </row>
    <row r="276" spans="3:5" hidden="1" outlineLevel="1" x14ac:dyDescent="0.3">
      <c r="C276" s="24" t="s">
        <v>170</v>
      </c>
      <c r="D276">
        <v>15</v>
      </c>
      <c r="E276" s="3"/>
    </row>
    <row r="277" spans="3:5" hidden="1" outlineLevel="1" x14ac:dyDescent="0.3">
      <c r="C277" s="24" t="s">
        <v>171</v>
      </c>
      <c r="D277" s="3"/>
      <c r="E277" s="3">
        <f>D278</f>
        <v>50000</v>
      </c>
    </row>
    <row r="278" spans="3:5" hidden="1" outlineLevel="1" x14ac:dyDescent="0.3">
      <c r="C278" s="24" t="s">
        <v>172</v>
      </c>
      <c r="D278" s="3">
        <v>50000</v>
      </c>
      <c r="E278" s="3">
        <f>-E4*D276/30</f>
        <v>800000</v>
      </c>
    </row>
    <row r="279" spans="3:5" hidden="1" outlineLevel="1" x14ac:dyDescent="0.3">
      <c r="C279" s="24" t="s">
        <v>173</v>
      </c>
      <c r="D279" s="3"/>
      <c r="E279" s="3">
        <f>E278-E277</f>
        <v>750000</v>
      </c>
    </row>
    <row r="282" spans="3:5" x14ac:dyDescent="0.3">
      <c r="C282" s="2" t="s">
        <v>176</v>
      </c>
    </row>
    <row r="284" spans="3:5" x14ac:dyDescent="0.3">
      <c r="C284" t="s">
        <v>177</v>
      </c>
      <c r="E284">
        <v>0</v>
      </c>
    </row>
    <row r="285" spans="3:5" x14ac:dyDescent="0.3">
      <c r="C285" s="1" t="s">
        <v>178</v>
      </c>
      <c r="E285" s="3">
        <f>E64+SUM(E68:E79)-E237</f>
        <v>2335625.69</v>
      </c>
    </row>
    <row r="286" spans="3:5" x14ac:dyDescent="0.3">
      <c r="C286" s="1" t="s">
        <v>179</v>
      </c>
      <c r="E286" s="3">
        <f>E102</f>
        <v>-1343639.89</v>
      </c>
    </row>
    <row r="287" spans="3:5" x14ac:dyDescent="0.3">
      <c r="C287" s="1" t="s">
        <v>180</v>
      </c>
      <c r="E287" s="3">
        <f>E183</f>
        <v>0</v>
      </c>
    </row>
    <row r="288" spans="3:5" x14ac:dyDescent="0.3">
      <c r="C288" s="1" t="s">
        <v>181</v>
      </c>
      <c r="E288" s="3">
        <f>SUM(E285:E287)</f>
        <v>991985.8</v>
      </c>
    </row>
    <row r="289" spans="3:16" x14ac:dyDescent="0.3">
      <c r="C289" t="s">
        <v>182</v>
      </c>
      <c r="E289" s="3">
        <f>E284+E288</f>
        <v>991985.8</v>
      </c>
    </row>
    <row r="293" spans="3:16" x14ac:dyDescent="0.3">
      <c r="C293" s="2" t="s">
        <v>183</v>
      </c>
    </row>
    <row r="295" spans="3:16" x14ac:dyDescent="0.3">
      <c r="C295" s="2" t="s">
        <v>184</v>
      </c>
      <c r="E295" s="4">
        <f>SUM(E296:E300)</f>
        <v>23733652.466666669</v>
      </c>
      <c r="F295" s="4">
        <f t="shared" ref="F295:J295" si="455">SUM(F296:F300)</f>
        <v>19333333.333333332</v>
      </c>
      <c r="G295" s="4">
        <f t="shared" si="455"/>
        <v>19000000</v>
      </c>
      <c r="H295" s="4">
        <f t="shared" si="455"/>
        <v>18666666.666666668</v>
      </c>
      <c r="I295" s="4">
        <f t="shared" si="455"/>
        <v>18333333.333333336</v>
      </c>
      <c r="J295" s="4">
        <f t="shared" si="455"/>
        <v>18000000</v>
      </c>
    </row>
    <row r="296" spans="3:16" x14ac:dyDescent="0.3">
      <c r="C296" t="s">
        <v>187</v>
      </c>
      <c r="E296" s="3">
        <f>E190</f>
        <v>21141666.666666668</v>
      </c>
      <c r="F296" s="3">
        <f t="shared" ref="F296:P296" si="456">F190</f>
        <v>19333333.333333332</v>
      </c>
      <c r="G296" s="3">
        <f t="shared" si="456"/>
        <v>19000000</v>
      </c>
      <c r="H296" s="3">
        <f t="shared" si="456"/>
        <v>18666666.666666668</v>
      </c>
      <c r="I296" s="3">
        <f t="shared" si="456"/>
        <v>18333333.333333336</v>
      </c>
      <c r="J296" s="3">
        <f t="shared" si="456"/>
        <v>18000000</v>
      </c>
      <c r="K296" s="3">
        <f t="shared" si="456"/>
        <v>17666666.666666668</v>
      </c>
      <c r="L296" s="3">
        <f t="shared" si="456"/>
        <v>17333333.333333336</v>
      </c>
      <c r="M296" s="3">
        <f t="shared" si="456"/>
        <v>17000000</v>
      </c>
      <c r="N296" s="31">
        <f t="shared" si="456"/>
        <v>16666666.666666668</v>
      </c>
      <c r="O296" s="31">
        <f t="shared" si="456"/>
        <v>16333333.333333334</v>
      </c>
      <c r="P296" s="31">
        <f t="shared" si="456"/>
        <v>16000000.000000002</v>
      </c>
    </row>
    <row r="297" spans="3:16" x14ac:dyDescent="0.3">
      <c r="C297" s="28" t="s">
        <v>188</v>
      </c>
      <c r="E297" s="3">
        <f>E289</f>
        <v>991985.8</v>
      </c>
      <c r="F297" s="3">
        <f t="shared" ref="F297:N297" si="457">F289</f>
        <v>0</v>
      </c>
      <c r="G297" s="3">
        <f t="shared" si="457"/>
        <v>0</v>
      </c>
      <c r="H297" s="3">
        <f t="shared" si="457"/>
        <v>0</v>
      </c>
      <c r="I297" s="3">
        <f t="shared" si="457"/>
        <v>0</v>
      </c>
      <c r="J297" s="3">
        <f t="shared" si="457"/>
        <v>0</v>
      </c>
      <c r="K297" s="3">
        <f t="shared" si="457"/>
        <v>0</v>
      </c>
      <c r="L297" s="3">
        <f t="shared" si="457"/>
        <v>0</v>
      </c>
      <c r="M297" s="3">
        <f t="shared" si="457"/>
        <v>0</v>
      </c>
      <c r="N297">
        <f t="shared" si="457"/>
        <v>0</v>
      </c>
    </row>
    <row r="298" spans="3:16" x14ac:dyDescent="0.3">
      <c r="C298" s="28" t="s">
        <v>157</v>
      </c>
      <c r="E298" s="3">
        <f>E241</f>
        <v>800000</v>
      </c>
      <c r="F298" s="3">
        <f t="shared" ref="F298:J298" si="458">F241</f>
        <v>0</v>
      </c>
      <c r="G298" s="3">
        <f t="shared" si="458"/>
        <v>0</v>
      </c>
      <c r="H298" s="3">
        <f t="shared" si="458"/>
        <v>0</v>
      </c>
      <c r="I298" s="3">
        <f t="shared" si="458"/>
        <v>0</v>
      </c>
      <c r="J298" s="3">
        <f t="shared" si="458"/>
        <v>0</v>
      </c>
    </row>
    <row r="299" spans="3:16" x14ac:dyDescent="0.3">
      <c r="C299" s="28" t="s">
        <v>162</v>
      </c>
      <c r="E299" s="3">
        <f>E247</f>
        <v>800000</v>
      </c>
      <c r="F299" s="3">
        <f t="shared" ref="F299:J299" si="459">F247</f>
        <v>0</v>
      </c>
      <c r="G299" s="3">
        <f t="shared" si="459"/>
        <v>0</v>
      </c>
      <c r="H299" s="3">
        <f t="shared" si="459"/>
        <v>0</v>
      </c>
      <c r="I299" s="3">
        <f t="shared" si="459"/>
        <v>0</v>
      </c>
      <c r="J299" s="3">
        <f t="shared" si="459"/>
        <v>0</v>
      </c>
    </row>
    <row r="303" spans="3:16" x14ac:dyDescent="0.3">
      <c r="C303" s="2" t="s">
        <v>186</v>
      </c>
      <c r="E303" s="4">
        <f>SUM(E304:E305)</f>
        <v>42233864.57</v>
      </c>
      <c r="F303" s="4">
        <f t="shared" ref="F303:J303" si="460">SUM(F304:F305)</f>
        <v>0</v>
      </c>
      <c r="G303" s="4">
        <f t="shared" si="460"/>
        <v>0</v>
      </c>
      <c r="H303" s="4">
        <f t="shared" si="460"/>
        <v>0</v>
      </c>
      <c r="I303" s="4">
        <f t="shared" si="460"/>
        <v>0</v>
      </c>
      <c r="J303" s="4">
        <f t="shared" si="460"/>
        <v>0</v>
      </c>
    </row>
    <row r="304" spans="3:16" x14ac:dyDescent="0.3">
      <c r="C304" t="s">
        <v>191</v>
      </c>
      <c r="E304" s="3">
        <f>E107+E145</f>
        <v>41433864.57</v>
      </c>
    </row>
    <row r="305" spans="3:10" x14ac:dyDescent="0.3">
      <c r="C305" t="s">
        <v>169</v>
      </c>
      <c r="E305" s="3">
        <f>E266</f>
        <v>800000</v>
      </c>
    </row>
    <row r="307" spans="3:10" x14ac:dyDescent="0.3">
      <c r="C307" s="2" t="s">
        <v>185</v>
      </c>
      <c r="E307" s="4">
        <f>SUM(E308:E310)</f>
        <v>2487292.3566666665</v>
      </c>
      <c r="F307" s="4">
        <f t="shared" ref="F307:J307" si="461">SUM(F308:F310)</f>
        <v>0</v>
      </c>
      <c r="G307" s="4">
        <f t="shared" si="461"/>
        <v>0</v>
      </c>
      <c r="H307" s="4">
        <f t="shared" si="461"/>
        <v>0</v>
      </c>
      <c r="I307" s="4">
        <f t="shared" si="461"/>
        <v>0</v>
      </c>
      <c r="J307" s="4">
        <f t="shared" si="461"/>
        <v>0</v>
      </c>
    </row>
    <row r="308" spans="3:10" x14ac:dyDescent="0.3">
      <c r="C308" t="s">
        <v>189</v>
      </c>
    </row>
    <row r="309" spans="3:10" x14ac:dyDescent="0.3">
      <c r="C309" t="s">
        <v>190</v>
      </c>
      <c r="E309" s="3">
        <f>E100</f>
        <v>2487292.3566666665</v>
      </c>
    </row>
    <row r="310" spans="3:10" x14ac:dyDescent="0.3">
      <c r="C310" t="s">
        <v>139</v>
      </c>
      <c r="E310">
        <f>E181</f>
        <v>0</v>
      </c>
    </row>
    <row r="315" spans="3:10" x14ac:dyDescent="0.3">
      <c r="C315" t="s">
        <v>195</v>
      </c>
    </row>
    <row r="316" spans="3:10" x14ac:dyDescent="0.3">
      <c r="C316" t="s">
        <v>197</v>
      </c>
      <c r="E316" s="3">
        <f>-SUMIFS(E$2:E$311,$A$2:$A$311,"z")</f>
        <v>1270000</v>
      </c>
    </row>
    <row r="342" spans="3:12" x14ac:dyDescent="0.3">
      <c r="C342" t="s">
        <v>8</v>
      </c>
      <c r="E342" t="s">
        <v>11</v>
      </c>
      <c r="K342" t="s">
        <v>30</v>
      </c>
    </row>
    <row r="343" spans="3:12" x14ac:dyDescent="0.3">
      <c r="C343" t="s">
        <v>12</v>
      </c>
      <c r="E343" t="s">
        <v>13</v>
      </c>
      <c r="K343" t="s">
        <v>31</v>
      </c>
      <c r="L343" t="s">
        <v>33</v>
      </c>
    </row>
    <row r="344" spans="3:12" x14ac:dyDescent="0.3">
      <c r="C344" t="s">
        <v>9</v>
      </c>
      <c r="E344" t="s">
        <v>14</v>
      </c>
      <c r="K344" t="s">
        <v>32</v>
      </c>
    </row>
    <row r="346" spans="3:12" x14ac:dyDescent="0.3">
      <c r="C346" t="s">
        <v>10</v>
      </c>
    </row>
    <row r="350" spans="3:12" x14ac:dyDescent="0.3">
      <c r="C350" t="s">
        <v>16</v>
      </c>
    </row>
    <row r="351" spans="3:12" x14ac:dyDescent="0.3">
      <c r="C351" t="s">
        <v>17</v>
      </c>
    </row>
    <row r="353" spans="3:3" x14ac:dyDescent="0.3">
      <c r="C353" t="s">
        <v>18</v>
      </c>
    </row>
    <row r="354" spans="3:3" x14ac:dyDescent="0.3">
      <c r="C354" t="s">
        <v>19</v>
      </c>
    </row>
    <row r="355" spans="3:3" x14ac:dyDescent="0.3">
      <c r="C355" t="s">
        <v>20</v>
      </c>
    </row>
    <row r="356" spans="3:3" x14ac:dyDescent="0.3">
      <c r="C356" t="s">
        <v>26</v>
      </c>
    </row>
    <row r="357" spans="3:3" x14ac:dyDescent="0.3">
      <c r="C357" t="s">
        <v>21</v>
      </c>
    </row>
    <row r="358" spans="3:3" x14ac:dyDescent="0.3">
      <c r="C358" t="s">
        <v>22</v>
      </c>
    </row>
    <row r="359" spans="3:3" x14ac:dyDescent="0.3">
      <c r="C359" t="s">
        <v>23</v>
      </c>
    </row>
    <row r="360" spans="3:3" x14ac:dyDescent="0.3">
      <c r="C360" t="s">
        <v>24</v>
      </c>
    </row>
    <row r="361" spans="3:3" x14ac:dyDescent="0.3">
      <c r="C361" t="s">
        <v>25</v>
      </c>
    </row>
    <row r="363" spans="3:3" x14ac:dyDescent="0.3">
      <c r="C363" t="s">
        <v>27</v>
      </c>
    </row>
    <row r="364" spans="3:3" x14ac:dyDescent="0.3">
      <c r="C364" t="s">
        <v>28</v>
      </c>
    </row>
    <row r="365" spans="3:3" x14ac:dyDescent="0.3">
      <c r="C365" t="s">
        <v>29</v>
      </c>
    </row>
  </sheetData>
  <phoneticPr fontId="4" type="noConversion"/>
  <conditionalFormatting sqref="E289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Baev</dc:creator>
  <cp:lastModifiedBy>Baev</cp:lastModifiedBy>
  <dcterms:created xsi:type="dcterms:W3CDTF">2026-03-10T07:48:16Z</dcterms:created>
  <dcterms:modified xsi:type="dcterms:W3CDTF">2026-03-11T09:27:55Z</dcterms:modified>
</cp:coreProperties>
</file>