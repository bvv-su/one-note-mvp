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ая\2026-02-27 Глобал финмодель исходные данные\20260310\"/>
    </mc:Choice>
  </mc:AlternateContent>
  <xr:revisionPtr revIDLastSave="0" documentId="13_ncr:1_{1D64C20C-AE06-40B7-9EDE-F5816164B539}" xr6:coauthVersionLast="47" xr6:coauthVersionMax="47" xr10:uidLastSave="{00000000-0000-0000-0000-000000000000}"/>
  <bookViews>
    <workbookView xWindow="-108" yWindow="-108" windowWidth="23256" windowHeight="12456" xr2:uid="{13783897-F1CB-48E1-88D8-0B02538032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8" i="1" l="1"/>
  <c r="E99" i="1" s="1"/>
  <c r="N103" i="1"/>
  <c r="M103" i="1"/>
  <c r="L103" i="1"/>
  <c r="K103" i="1"/>
  <c r="J103" i="1"/>
  <c r="I103" i="1"/>
  <c r="H103" i="1"/>
  <c r="G103" i="1"/>
  <c r="F103" i="1"/>
  <c r="E103" i="1"/>
  <c r="N191" i="1"/>
  <c r="M191" i="1"/>
  <c r="L191" i="1"/>
  <c r="K191" i="1"/>
  <c r="J191" i="1"/>
  <c r="I191" i="1"/>
  <c r="H191" i="1"/>
  <c r="G191" i="1"/>
  <c r="F191" i="1"/>
  <c r="E191" i="1"/>
  <c r="J315" i="1" l="1"/>
  <c r="I315" i="1"/>
  <c r="H315" i="1"/>
  <c r="G315" i="1"/>
  <c r="F315" i="1"/>
  <c r="J311" i="1"/>
  <c r="I311" i="1"/>
  <c r="H311" i="1"/>
  <c r="G311" i="1"/>
  <c r="F311" i="1"/>
  <c r="J307" i="1"/>
  <c r="I307" i="1"/>
  <c r="H307" i="1"/>
  <c r="G307" i="1"/>
  <c r="F307" i="1"/>
  <c r="J306" i="1"/>
  <c r="I306" i="1"/>
  <c r="H306" i="1"/>
  <c r="G306" i="1"/>
  <c r="F306" i="1"/>
  <c r="N114" i="1"/>
  <c r="M114" i="1"/>
  <c r="L114" i="1"/>
  <c r="K114" i="1"/>
  <c r="J114" i="1"/>
  <c r="I114" i="1"/>
  <c r="H114" i="1"/>
  <c r="G114" i="1"/>
  <c r="F114" i="1"/>
  <c r="E114" i="1"/>
  <c r="E113" i="1"/>
  <c r="D274" i="1"/>
  <c r="D255" i="1"/>
  <c r="E295" i="1"/>
  <c r="D254" i="1"/>
  <c r="E285" i="1"/>
  <c r="D273" i="1"/>
  <c r="E266" i="1"/>
  <c r="E260" i="1"/>
  <c r="E279" i="1"/>
  <c r="E248" i="1"/>
  <c r="D80" i="1"/>
  <c r="N87" i="1"/>
  <c r="M87" i="1"/>
  <c r="L87" i="1"/>
  <c r="K87" i="1"/>
  <c r="J87" i="1"/>
  <c r="I87" i="1"/>
  <c r="H87" i="1"/>
  <c r="G87" i="1"/>
  <c r="F87" i="1"/>
  <c r="E87" i="1"/>
  <c r="N86" i="1"/>
  <c r="M86" i="1"/>
  <c r="L86" i="1"/>
  <c r="K86" i="1"/>
  <c r="J86" i="1"/>
  <c r="I86" i="1"/>
  <c r="H86" i="1"/>
  <c r="G86" i="1"/>
  <c r="F86" i="1"/>
  <c r="E86" i="1"/>
  <c r="N85" i="1"/>
  <c r="M85" i="1"/>
  <c r="L85" i="1"/>
  <c r="K85" i="1"/>
  <c r="J85" i="1"/>
  <c r="I85" i="1"/>
  <c r="H85" i="1"/>
  <c r="G85" i="1"/>
  <c r="F85" i="1"/>
  <c r="E85" i="1"/>
  <c r="N84" i="1"/>
  <c r="M84" i="1"/>
  <c r="L84" i="1"/>
  <c r="K84" i="1"/>
  <c r="J84" i="1"/>
  <c r="I84" i="1"/>
  <c r="H84" i="1"/>
  <c r="G84" i="1"/>
  <c r="F84" i="1"/>
  <c r="E84" i="1"/>
  <c r="N83" i="1"/>
  <c r="M83" i="1"/>
  <c r="L83" i="1"/>
  <c r="K83" i="1"/>
  <c r="J83" i="1"/>
  <c r="I83" i="1"/>
  <c r="H83" i="1"/>
  <c r="G83" i="1"/>
  <c r="F83" i="1"/>
  <c r="E83" i="1"/>
  <c r="N82" i="1"/>
  <c r="M82" i="1"/>
  <c r="L82" i="1"/>
  <c r="K82" i="1"/>
  <c r="J82" i="1"/>
  <c r="I82" i="1"/>
  <c r="H82" i="1"/>
  <c r="G82" i="1"/>
  <c r="F82" i="1"/>
  <c r="E82" i="1"/>
  <c r="N81" i="1"/>
  <c r="M81" i="1"/>
  <c r="L81" i="1"/>
  <c r="K81" i="1"/>
  <c r="J81" i="1"/>
  <c r="I81" i="1"/>
  <c r="H81" i="1"/>
  <c r="G81" i="1"/>
  <c r="F81" i="1"/>
  <c r="E81" i="1"/>
  <c r="N104" i="1"/>
  <c r="M104" i="1"/>
  <c r="L104" i="1"/>
  <c r="K104" i="1"/>
  <c r="J104" i="1"/>
  <c r="I104" i="1"/>
  <c r="H104" i="1"/>
  <c r="G104" i="1"/>
  <c r="F104" i="1"/>
  <c r="E104" i="1"/>
  <c r="N102" i="1"/>
  <c r="M102" i="1"/>
  <c r="L102" i="1"/>
  <c r="K102" i="1"/>
  <c r="J102" i="1"/>
  <c r="I102" i="1"/>
  <c r="H102" i="1"/>
  <c r="G102" i="1"/>
  <c r="F102" i="1"/>
  <c r="E102" i="1"/>
  <c r="N305" i="1"/>
  <c r="M305" i="1"/>
  <c r="L305" i="1"/>
  <c r="K305" i="1"/>
  <c r="J305" i="1"/>
  <c r="I305" i="1"/>
  <c r="H305" i="1"/>
  <c r="G305" i="1"/>
  <c r="F305" i="1"/>
  <c r="D197" i="1"/>
  <c r="G148" i="1"/>
  <c r="H146" i="1" s="1"/>
  <c r="H148" i="1" s="1"/>
  <c r="I146" i="1" s="1"/>
  <c r="I148" i="1" s="1"/>
  <c r="J146" i="1" s="1"/>
  <c r="J148" i="1" s="1"/>
  <c r="K146" i="1" s="1"/>
  <c r="K148" i="1" s="1"/>
  <c r="L146" i="1" s="1"/>
  <c r="L148" i="1" s="1"/>
  <c r="M146" i="1" s="1"/>
  <c r="M148" i="1" s="1"/>
  <c r="N146" i="1" s="1"/>
  <c r="N148" i="1" s="1"/>
  <c r="O146" i="1" s="1"/>
  <c r="O148" i="1" s="1"/>
  <c r="P146" i="1" s="1"/>
  <c r="P148" i="1" s="1"/>
  <c r="Q146" i="1" s="1"/>
  <c r="Q148" i="1" s="1"/>
  <c r="R146" i="1" s="1"/>
  <c r="R148" i="1" s="1"/>
  <c r="E120" i="1"/>
  <c r="F118" i="1" s="1"/>
  <c r="F120" i="1" s="1"/>
  <c r="G118" i="1" s="1"/>
  <c r="G120" i="1" s="1"/>
  <c r="H118" i="1" s="1"/>
  <c r="H120" i="1" s="1"/>
  <c r="I118" i="1" s="1"/>
  <c r="I120" i="1" s="1"/>
  <c r="J118" i="1" s="1"/>
  <c r="J120" i="1" s="1"/>
  <c r="K118" i="1" s="1"/>
  <c r="K120" i="1" s="1"/>
  <c r="L118" i="1" s="1"/>
  <c r="L120" i="1" s="1"/>
  <c r="M118" i="1" s="1"/>
  <c r="M120" i="1" s="1"/>
  <c r="N118" i="1" s="1"/>
  <c r="N120" i="1" s="1"/>
  <c r="O118" i="1" s="1"/>
  <c r="O120" i="1" s="1"/>
  <c r="P118" i="1" s="1"/>
  <c r="P120" i="1" s="1"/>
  <c r="Q118" i="1" s="1"/>
  <c r="Q120" i="1" s="1"/>
  <c r="R118" i="1" s="1"/>
  <c r="R120" i="1" s="1"/>
  <c r="S118" i="1" s="1"/>
  <c r="S120" i="1" s="1"/>
  <c r="E124" i="1"/>
  <c r="F122" i="1" s="1"/>
  <c r="F124" i="1" s="1"/>
  <c r="G122" i="1" s="1"/>
  <c r="G124" i="1" s="1"/>
  <c r="H122" i="1" s="1"/>
  <c r="H124" i="1" s="1"/>
  <c r="I122" i="1" s="1"/>
  <c r="I124" i="1" s="1"/>
  <c r="J122" i="1" s="1"/>
  <c r="J124" i="1" s="1"/>
  <c r="K122" i="1" s="1"/>
  <c r="K124" i="1" s="1"/>
  <c r="L122" i="1" s="1"/>
  <c r="L124" i="1" s="1"/>
  <c r="M122" i="1" s="1"/>
  <c r="M124" i="1" s="1"/>
  <c r="N122" i="1" s="1"/>
  <c r="N124" i="1" s="1"/>
  <c r="O122" i="1" s="1"/>
  <c r="O124" i="1" s="1"/>
  <c r="P122" i="1" s="1"/>
  <c r="P124" i="1" s="1"/>
  <c r="Q122" i="1" s="1"/>
  <c r="Q124" i="1" s="1"/>
  <c r="R122" i="1" s="1"/>
  <c r="R124" i="1" s="1"/>
  <c r="S122" i="1" s="1"/>
  <c r="S124" i="1" s="1"/>
  <c r="T122" i="1" s="1"/>
  <c r="T124" i="1" s="1"/>
  <c r="U122" i="1" s="1"/>
  <c r="U124" i="1" s="1"/>
  <c r="V122" i="1" s="1"/>
  <c r="V124" i="1" s="1"/>
  <c r="W122" i="1" s="1"/>
  <c r="W124" i="1" s="1"/>
  <c r="X122" i="1" s="1"/>
  <c r="X124" i="1" s="1"/>
  <c r="Y122" i="1" s="1"/>
  <c r="Y124" i="1" s="1"/>
  <c r="Z122" i="1" s="1"/>
  <c r="Z124" i="1" s="1"/>
  <c r="AA122" i="1" s="1"/>
  <c r="AA124" i="1" s="1"/>
  <c r="AB122" i="1" s="1"/>
  <c r="AB124" i="1" s="1"/>
  <c r="AC122" i="1" s="1"/>
  <c r="AC124" i="1" s="1"/>
  <c r="AD122" i="1" s="1"/>
  <c r="AD124" i="1" s="1"/>
  <c r="AE122" i="1" s="1"/>
  <c r="AE124" i="1" s="1"/>
  <c r="AF122" i="1" s="1"/>
  <c r="AF124" i="1" s="1"/>
  <c r="AG122" i="1" s="1"/>
  <c r="AG124" i="1" s="1"/>
  <c r="AH122" i="1" s="1"/>
  <c r="AH124" i="1" s="1"/>
  <c r="AI122" i="1" s="1"/>
  <c r="AI124" i="1" s="1"/>
  <c r="AJ122" i="1" s="1"/>
  <c r="AJ124" i="1" s="1"/>
  <c r="AK122" i="1" s="1"/>
  <c r="AK124" i="1" s="1"/>
  <c r="E128" i="1"/>
  <c r="F126" i="1" s="1"/>
  <c r="F128" i="1" s="1"/>
  <c r="G126" i="1" s="1"/>
  <c r="G128" i="1" s="1"/>
  <c r="H126" i="1" s="1"/>
  <c r="H128" i="1" s="1"/>
  <c r="I126" i="1" s="1"/>
  <c r="I128" i="1" s="1"/>
  <c r="J126" i="1" s="1"/>
  <c r="J128" i="1" s="1"/>
  <c r="K126" i="1" s="1"/>
  <c r="K128" i="1" s="1"/>
  <c r="L126" i="1" s="1"/>
  <c r="L128" i="1" s="1"/>
  <c r="M126" i="1" s="1"/>
  <c r="M128" i="1" s="1"/>
  <c r="N126" i="1" s="1"/>
  <c r="N128" i="1" s="1"/>
  <c r="O126" i="1" s="1"/>
  <c r="O128" i="1" s="1"/>
  <c r="P126" i="1" s="1"/>
  <c r="P128" i="1" s="1"/>
  <c r="Q126" i="1" s="1"/>
  <c r="Q128" i="1" s="1"/>
  <c r="R126" i="1" s="1"/>
  <c r="R128" i="1" s="1"/>
  <c r="S126" i="1" s="1"/>
  <c r="S128" i="1" s="1"/>
  <c r="T126" i="1" s="1"/>
  <c r="T128" i="1" s="1"/>
  <c r="U126" i="1" s="1"/>
  <c r="U128" i="1" s="1"/>
  <c r="V126" i="1" s="1"/>
  <c r="V128" i="1" s="1"/>
  <c r="W126" i="1" s="1"/>
  <c r="W128" i="1" s="1"/>
  <c r="X126" i="1" s="1"/>
  <c r="X128" i="1" s="1"/>
  <c r="Y126" i="1" s="1"/>
  <c r="Y128" i="1" s="1"/>
  <c r="Z126" i="1" s="1"/>
  <c r="Z128" i="1" s="1"/>
  <c r="AA126" i="1" s="1"/>
  <c r="AA128" i="1" s="1"/>
  <c r="AB126" i="1" s="1"/>
  <c r="AB128" i="1" s="1"/>
  <c r="AC126" i="1" s="1"/>
  <c r="AC128" i="1" s="1"/>
  <c r="E132" i="1"/>
  <c r="F130" i="1" s="1"/>
  <c r="F132" i="1" s="1"/>
  <c r="G130" i="1" s="1"/>
  <c r="G132" i="1" s="1"/>
  <c r="H130" i="1" s="1"/>
  <c r="H132" i="1" s="1"/>
  <c r="I130" i="1" s="1"/>
  <c r="I132" i="1" s="1"/>
  <c r="J130" i="1" s="1"/>
  <c r="J132" i="1" s="1"/>
  <c r="K130" i="1" s="1"/>
  <c r="K132" i="1" s="1"/>
  <c r="L130" i="1" s="1"/>
  <c r="L132" i="1" s="1"/>
  <c r="M130" i="1" s="1"/>
  <c r="M132" i="1" s="1"/>
  <c r="N130" i="1" s="1"/>
  <c r="N132" i="1" s="1"/>
  <c r="O130" i="1" s="1"/>
  <c r="O132" i="1" s="1"/>
  <c r="P130" i="1" s="1"/>
  <c r="P132" i="1" s="1"/>
  <c r="Q130" i="1" s="1"/>
  <c r="Q132" i="1" s="1"/>
  <c r="R130" i="1" s="1"/>
  <c r="R132" i="1" s="1"/>
  <c r="S130" i="1" s="1"/>
  <c r="S132" i="1" s="1"/>
  <c r="T130" i="1" s="1"/>
  <c r="T132" i="1" s="1"/>
  <c r="U130" i="1" s="1"/>
  <c r="U132" i="1" s="1"/>
  <c r="V130" i="1" s="1"/>
  <c r="V132" i="1" s="1"/>
  <c r="W130" i="1" s="1"/>
  <c r="W132" i="1" s="1"/>
  <c r="X130" i="1" s="1"/>
  <c r="X132" i="1" s="1"/>
  <c r="Y130" i="1" s="1"/>
  <c r="Y132" i="1" s="1"/>
  <c r="Z130" i="1" s="1"/>
  <c r="Z132" i="1" s="1"/>
  <c r="AA130" i="1" s="1"/>
  <c r="AA132" i="1" s="1"/>
  <c r="AB130" i="1" s="1"/>
  <c r="AB132" i="1" s="1"/>
  <c r="E136" i="1"/>
  <c r="F134" i="1" s="1"/>
  <c r="F136" i="1" s="1"/>
  <c r="G134" i="1" s="1"/>
  <c r="G136" i="1" s="1"/>
  <c r="H134" i="1" s="1"/>
  <c r="H136" i="1" s="1"/>
  <c r="I134" i="1" s="1"/>
  <c r="I136" i="1" s="1"/>
  <c r="J134" i="1" s="1"/>
  <c r="J136" i="1" s="1"/>
  <c r="K134" i="1" s="1"/>
  <c r="K136" i="1" s="1"/>
  <c r="L134" i="1" s="1"/>
  <c r="L136" i="1" s="1"/>
  <c r="M134" i="1" s="1"/>
  <c r="M136" i="1" s="1"/>
  <c r="N134" i="1" s="1"/>
  <c r="N136" i="1" s="1"/>
  <c r="O134" i="1" s="1"/>
  <c r="O136" i="1" s="1"/>
  <c r="P134" i="1" s="1"/>
  <c r="P136" i="1" s="1"/>
  <c r="Q134" i="1" s="1"/>
  <c r="Q136" i="1" s="1"/>
  <c r="R134" i="1" s="1"/>
  <c r="R136" i="1" s="1"/>
  <c r="S134" i="1" s="1"/>
  <c r="S136" i="1" s="1"/>
  <c r="T134" i="1" s="1"/>
  <c r="T136" i="1" s="1"/>
  <c r="E140" i="1"/>
  <c r="F138" i="1" s="1"/>
  <c r="F140" i="1" s="1"/>
  <c r="G138" i="1" s="1"/>
  <c r="G140" i="1" s="1"/>
  <c r="H138" i="1" s="1"/>
  <c r="H140" i="1" s="1"/>
  <c r="I138" i="1" s="1"/>
  <c r="I140" i="1" s="1"/>
  <c r="J138" i="1" s="1"/>
  <c r="J140" i="1" s="1"/>
  <c r="K138" i="1" s="1"/>
  <c r="K140" i="1" s="1"/>
  <c r="L138" i="1" s="1"/>
  <c r="L140" i="1" s="1"/>
  <c r="M138" i="1" s="1"/>
  <c r="M140" i="1" s="1"/>
  <c r="N138" i="1" s="1"/>
  <c r="N140" i="1" s="1"/>
  <c r="O138" i="1" s="1"/>
  <c r="O140" i="1" s="1"/>
  <c r="P138" i="1" s="1"/>
  <c r="P140" i="1" s="1"/>
  <c r="Q138" i="1" s="1"/>
  <c r="Q140" i="1" s="1"/>
  <c r="R138" i="1" s="1"/>
  <c r="R140" i="1" s="1"/>
  <c r="S138" i="1" s="1"/>
  <c r="S140" i="1" s="1"/>
  <c r="T138" i="1" s="1"/>
  <c r="T140" i="1" s="1"/>
  <c r="E144" i="1"/>
  <c r="F142" i="1" s="1"/>
  <c r="F144" i="1" s="1"/>
  <c r="G142" i="1" s="1"/>
  <c r="G144" i="1" s="1"/>
  <c r="H142" i="1" s="1"/>
  <c r="H144" i="1" s="1"/>
  <c r="I142" i="1" s="1"/>
  <c r="I144" i="1" s="1"/>
  <c r="J142" i="1" s="1"/>
  <c r="J144" i="1" s="1"/>
  <c r="K142" i="1" s="1"/>
  <c r="K144" i="1" s="1"/>
  <c r="L142" i="1" s="1"/>
  <c r="L144" i="1" s="1"/>
  <c r="M142" i="1" s="1"/>
  <c r="M144" i="1" s="1"/>
  <c r="N142" i="1" s="1"/>
  <c r="N144" i="1" s="1"/>
  <c r="O142" i="1" s="1"/>
  <c r="O144" i="1" s="1"/>
  <c r="P142" i="1" s="1"/>
  <c r="P144" i="1" s="1"/>
  <c r="Q142" i="1" s="1"/>
  <c r="Q144" i="1" s="1"/>
  <c r="R142" i="1" s="1"/>
  <c r="R144" i="1" s="1"/>
  <c r="S142" i="1" s="1"/>
  <c r="S144" i="1" s="1"/>
  <c r="T142" i="1" s="1"/>
  <c r="T144" i="1" s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K161" i="1"/>
  <c r="AK152" i="1" s="1"/>
  <c r="AJ161" i="1"/>
  <c r="AJ152" i="1" s="1"/>
  <c r="AI161" i="1"/>
  <c r="AI152" i="1" s="1"/>
  <c r="AH161" i="1"/>
  <c r="AH152" i="1" s="1"/>
  <c r="AG161" i="1"/>
  <c r="AG152" i="1" s="1"/>
  <c r="AF161" i="1"/>
  <c r="AF152" i="1" s="1"/>
  <c r="AE161" i="1"/>
  <c r="AE152" i="1" s="1"/>
  <c r="AD161" i="1"/>
  <c r="AD152" i="1" s="1"/>
  <c r="AC161" i="1"/>
  <c r="AB161" i="1"/>
  <c r="AA161" i="1"/>
  <c r="Z161" i="1"/>
  <c r="Z152" i="1" s="1"/>
  <c r="Y161" i="1"/>
  <c r="X161" i="1"/>
  <c r="X152" i="1" s="1"/>
  <c r="W161" i="1"/>
  <c r="W152" i="1" s="1"/>
  <c r="V161" i="1"/>
  <c r="U161" i="1"/>
  <c r="T161" i="1"/>
  <c r="S161" i="1"/>
  <c r="R161" i="1"/>
  <c r="Q161" i="1"/>
  <c r="P161" i="1"/>
  <c r="P152" i="1" s="1"/>
  <c r="O161" i="1"/>
  <c r="N161" i="1"/>
  <c r="M161" i="1"/>
  <c r="L161" i="1"/>
  <c r="K161" i="1"/>
  <c r="J161" i="1"/>
  <c r="I161" i="1"/>
  <c r="H161" i="1"/>
  <c r="H152" i="1" s="1"/>
  <c r="G161" i="1"/>
  <c r="F161" i="1"/>
  <c r="E161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E62" i="1"/>
  <c r="E60" i="1"/>
  <c r="E59" i="1"/>
  <c r="E58" i="1"/>
  <c r="E57" i="1"/>
  <c r="E55" i="1"/>
  <c r="E54" i="1"/>
  <c r="E53" i="1"/>
  <c r="E52" i="1"/>
  <c r="E50" i="1"/>
  <c r="E49" i="1"/>
  <c r="E48" i="1"/>
  <c r="E47" i="1"/>
  <c r="E46" i="1"/>
  <c r="E45" i="1"/>
  <c r="E43" i="1"/>
  <c r="E42" i="1"/>
  <c r="E41" i="1"/>
  <c r="E40" i="1"/>
  <c r="E39" i="1"/>
  <c r="E38" i="1"/>
  <c r="E37" i="1"/>
  <c r="E36" i="1"/>
  <c r="E35" i="1"/>
  <c r="E31" i="1"/>
  <c r="E30" i="1"/>
  <c r="E29" i="1"/>
  <c r="E28" i="1"/>
  <c r="E18" i="1"/>
  <c r="E17" i="1"/>
  <c r="E16" i="1"/>
  <c r="E15" i="1"/>
  <c r="E5" i="1"/>
  <c r="E280" i="1" s="1"/>
  <c r="V152" i="1" l="1"/>
  <c r="I152" i="1"/>
  <c r="I110" i="1" s="1"/>
  <c r="Q152" i="1"/>
  <c r="Y152" i="1"/>
  <c r="H110" i="1"/>
  <c r="AA152" i="1"/>
  <c r="E152" i="1"/>
  <c r="M152" i="1"/>
  <c r="M110" i="1" s="1"/>
  <c r="J152" i="1"/>
  <c r="J110" i="1" s="1"/>
  <c r="R152" i="1"/>
  <c r="F152" i="1"/>
  <c r="F110" i="1" s="1"/>
  <c r="N152" i="1"/>
  <c r="N110" i="1" s="1"/>
  <c r="O152" i="1"/>
  <c r="K152" i="1"/>
  <c r="K110" i="1" s="1"/>
  <c r="S152" i="1"/>
  <c r="G152" i="1"/>
  <c r="G110" i="1" s="1"/>
  <c r="T152" i="1"/>
  <c r="AB152" i="1"/>
  <c r="L152" i="1"/>
  <c r="L110" i="1" s="1"/>
  <c r="U152" i="1"/>
  <c r="AC152" i="1"/>
  <c r="E254" i="1"/>
  <c r="G113" i="1"/>
  <c r="H115" i="1"/>
  <c r="G115" i="1"/>
  <c r="I115" i="1"/>
  <c r="H113" i="1"/>
  <c r="J115" i="1"/>
  <c r="E115" i="1"/>
  <c r="I113" i="1"/>
  <c r="K115" i="1"/>
  <c r="F113" i="1"/>
  <c r="J113" i="1"/>
  <c r="L115" i="1"/>
  <c r="M113" i="1"/>
  <c r="N113" i="1"/>
  <c r="K113" i="1"/>
  <c r="M115" i="1"/>
  <c r="F115" i="1"/>
  <c r="L113" i="1"/>
  <c r="N115" i="1"/>
  <c r="E273" i="1"/>
  <c r="G80" i="1"/>
  <c r="I80" i="1"/>
  <c r="H80" i="1"/>
  <c r="E281" i="1"/>
  <c r="J80" i="1"/>
  <c r="E80" i="1"/>
  <c r="M80" i="1"/>
  <c r="K80" i="1"/>
  <c r="E249" i="1"/>
  <c r="E306" i="1" s="1"/>
  <c r="L80" i="1"/>
  <c r="F80" i="1"/>
  <c r="N80" i="1"/>
  <c r="E250" i="1" l="1"/>
  <c r="D73" i="1" l="1"/>
  <c r="D74" i="1"/>
  <c r="D72" i="1"/>
  <c r="D71" i="1"/>
  <c r="D70" i="1"/>
  <c r="D69" i="1"/>
  <c r="D6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E88" i="1"/>
  <c r="E4" i="1"/>
  <c r="E11" i="1"/>
  <c r="E10" i="1" l="1"/>
  <c r="M73" i="1"/>
  <c r="K73" i="1"/>
  <c r="J73" i="1"/>
  <c r="I73" i="1"/>
  <c r="D178" i="1"/>
  <c r="N73" i="1"/>
  <c r="E73" i="1"/>
  <c r="L73" i="1"/>
  <c r="H73" i="1"/>
  <c r="G73" i="1"/>
  <c r="F73" i="1"/>
  <c r="N72" i="1"/>
  <c r="F72" i="1"/>
  <c r="E72" i="1"/>
  <c r="L72" i="1"/>
  <c r="K72" i="1"/>
  <c r="I72" i="1"/>
  <c r="H72" i="1"/>
  <c r="G72" i="1"/>
  <c r="M72" i="1"/>
  <c r="J72" i="1"/>
  <c r="D174" i="1"/>
  <c r="E7" i="1"/>
  <c r="E20" i="1" s="1"/>
  <c r="E267" i="1"/>
  <c r="E268" i="1" s="1"/>
  <c r="E286" i="1"/>
  <c r="E261" i="1"/>
  <c r="J68" i="1"/>
  <c r="H68" i="1"/>
  <c r="G68" i="1"/>
  <c r="F68" i="1"/>
  <c r="L68" i="1"/>
  <c r="K68" i="1"/>
  <c r="I68" i="1"/>
  <c r="D158" i="1"/>
  <c r="N68" i="1"/>
  <c r="E68" i="1"/>
  <c r="M68" i="1"/>
  <c r="I69" i="1"/>
  <c r="D162" i="1"/>
  <c r="G69" i="1"/>
  <c r="N69" i="1"/>
  <c r="F69" i="1"/>
  <c r="E69" i="1"/>
  <c r="M69" i="1"/>
  <c r="L69" i="1"/>
  <c r="J69" i="1"/>
  <c r="H69" i="1"/>
  <c r="K69" i="1"/>
  <c r="L74" i="1"/>
  <c r="J74" i="1"/>
  <c r="I74" i="1"/>
  <c r="D182" i="1"/>
  <c r="G74" i="1"/>
  <c r="M74" i="1"/>
  <c r="K74" i="1"/>
  <c r="H74" i="1"/>
  <c r="N74" i="1"/>
  <c r="F74" i="1"/>
  <c r="E74" i="1"/>
  <c r="H70" i="1"/>
  <c r="N70" i="1"/>
  <c r="F70" i="1"/>
  <c r="E70" i="1"/>
  <c r="M70" i="1"/>
  <c r="K70" i="1"/>
  <c r="J70" i="1"/>
  <c r="I70" i="1"/>
  <c r="G70" i="1"/>
  <c r="L70" i="1"/>
  <c r="D166" i="1"/>
  <c r="G71" i="1"/>
  <c r="M71" i="1"/>
  <c r="L71" i="1"/>
  <c r="K71" i="1"/>
  <c r="H71" i="1"/>
  <c r="N71" i="1"/>
  <c r="F71" i="1"/>
  <c r="E71" i="1"/>
  <c r="J71" i="1"/>
  <c r="I71" i="1"/>
  <c r="D170" i="1"/>
  <c r="E51" i="1"/>
  <c r="E56" i="1"/>
  <c r="E27" i="1"/>
  <c r="E26" i="1" s="1"/>
  <c r="E44" i="1"/>
  <c r="E34" i="1"/>
  <c r="E21" i="1" l="1"/>
  <c r="E77" i="1"/>
  <c r="E78" i="1" s="1"/>
  <c r="E324" i="1"/>
  <c r="J67" i="1"/>
  <c r="E67" i="1"/>
  <c r="E101" i="1" s="1"/>
  <c r="E160" i="1"/>
  <c r="E162" i="1" s="1"/>
  <c r="F160" i="1" s="1"/>
  <c r="F162" i="1" s="1"/>
  <c r="G160" i="1" s="1"/>
  <c r="G162" i="1" s="1"/>
  <c r="H160" i="1" s="1"/>
  <c r="H162" i="1" s="1"/>
  <c r="I160" i="1" s="1"/>
  <c r="I162" i="1" s="1"/>
  <c r="J160" i="1" s="1"/>
  <c r="J162" i="1" s="1"/>
  <c r="K160" i="1" s="1"/>
  <c r="K162" i="1" s="1"/>
  <c r="L160" i="1" s="1"/>
  <c r="L162" i="1" s="1"/>
  <c r="M160" i="1" s="1"/>
  <c r="M162" i="1" s="1"/>
  <c r="N160" i="1" s="1"/>
  <c r="N162" i="1" s="1"/>
  <c r="O160" i="1" s="1"/>
  <c r="O162" i="1" s="1"/>
  <c r="P160" i="1" s="1"/>
  <c r="P162" i="1" s="1"/>
  <c r="Q160" i="1" s="1"/>
  <c r="Q162" i="1" s="1"/>
  <c r="R160" i="1" s="1"/>
  <c r="R162" i="1" s="1"/>
  <c r="S160" i="1" s="1"/>
  <c r="S162" i="1" s="1"/>
  <c r="T160" i="1" s="1"/>
  <c r="T162" i="1" s="1"/>
  <c r="D207" i="1"/>
  <c r="E176" i="1"/>
  <c r="E178" i="1" s="1"/>
  <c r="F176" i="1" s="1"/>
  <c r="F178" i="1" s="1"/>
  <c r="G176" i="1" s="1"/>
  <c r="G178" i="1" s="1"/>
  <c r="H176" i="1" s="1"/>
  <c r="H178" i="1" s="1"/>
  <c r="I176" i="1" s="1"/>
  <c r="I178" i="1" s="1"/>
  <c r="J176" i="1" s="1"/>
  <c r="J178" i="1" s="1"/>
  <c r="K176" i="1" s="1"/>
  <c r="K178" i="1" s="1"/>
  <c r="L176" i="1" s="1"/>
  <c r="L178" i="1" s="1"/>
  <c r="M176" i="1" s="1"/>
  <c r="M178" i="1" s="1"/>
  <c r="N176" i="1" s="1"/>
  <c r="N178" i="1" s="1"/>
  <c r="O176" i="1" s="1"/>
  <c r="O178" i="1" s="1"/>
  <c r="P176" i="1" s="1"/>
  <c r="P178" i="1" s="1"/>
  <c r="Q176" i="1" s="1"/>
  <c r="Q178" i="1" s="1"/>
  <c r="R176" i="1" s="1"/>
  <c r="R178" i="1" s="1"/>
  <c r="S176" i="1" s="1"/>
  <c r="S178" i="1" s="1"/>
  <c r="T176" i="1" s="1"/>
  <c r="T178" i="1" s="1"/>
  <c r="D231" i="1"/>
  <c r="E180" i="1"/>
  <c r="E182" i="1" s="1"/>
  <c r="F180" i="1" s="1"/>
  <c r="F182" i="1" s="1"/>
  <c r="G180" i="1" s="1"/>
  <c r="G182" i="1" s="1"/>
  <c r="H180" i="1" s="1"/>
  <c r="H182" i="1" s="1"/>
  <c r="I180" i="1" s="1"/>
  <c r="I182" i="1" s="1"/>
  <c r="J180" i="1" s="1"/>
  <c r="J182" i="1" s="1"/>
  <c r="K180" i="1" s="1"/>
  <c r="K182" i="1" s="1"/>
  <c r="L180" i="1" s="1"/>
  <c r="L182" i="1" s="1"/>
  <c r="M180" i="1" s="1"/>
  <c r="M182" i="1" s="1"/>
  <c r="N180" i="1" s="1"/>
  <c r="N182" i="1" s="1"/>
  <c r="O180" i="1" s="1"/>
  <c r="O182" i="1" s="1"/>
  <c r="P180" i="1" s="1"/>
  <c r="P182" i="1" s="1"/>
  <c r="Q180" i="1" s="1"/>
  <c r="Q182" i="1" s="1"/>
  <c r="R180" i="1" s="1"/>
  <c r="R182" i="1" s="1"/>
  <c r="S180" i="1" s="1"/>
  <c r="S182" i="1" s="1"/>
  <c r="T180" i="1" s="1"/>
  <c r="T182" i="1" s="1"/>
  <c r="D237" i="1"/>
  <c r="E172" i="1"/>
  <c r="E174" i="1" s="1"/>
  <c r="F172" i="1" s="1"/>
  <c r="F174" i="1" s="1"/>
  <c r="G172" i="1" s="1"/>
  <c r="G174" i="1" s="1"/>
  <c r="H172" i="1" s="1"/>
  <c r="H174" i="1" s="1"/>
  <c r="I172" i="1" s="1"/>
  <c r="I174" i="1" s="1"/>
  <c r="J172" i="1" s="1"/>
  <c r="J174" i="1" s="1"/>
  <c r="K172" i="1" s="1"/>
  <c r="K174" i="1" s="1"/>
  <c r="L172" i="1" s="1"/>
  <c r="L174" i="1" s="1"/>
  <c r="M172" i="1" s="1"/>
  <c r="M174" i="1" s="1"/>
  <c r="N172" i="1" s="1"/>
  <c r="N174" i="1" s="1"/>
  <c r="O172" i="1" s="1"/>
  <c r="O174" i="1" s="1"/>
  <c r="P172" i="1" s="1"/>
  <c r="P174" i="1" s="1"/>
  <c r="Q172" i="1" s="1"/>
  <c r="Q174" i="1" s="1"/>
  <c r="R172" i="1" s="1"/>
  <c r="R174" i="1" s="1"/>
  <c r="S172" i="1" s="1"/>
  <c r="S174" i="1" s="1"/>
  <c r="T172" i="1" s="1"/>
  <c r="T174" i="1" s="1"/>
  <c r="D225" i="1"/>
  <c r="E156" i="1"/>
  <c r="E158" i="1" s="1"/>
  <c r="D201" i="1"/>
  <c r="E164" i="1"/>
  <c r="E166" i="1" s="1"/>
  <c r="F164" i="1" s="1"/>
  <c r="F166" i="1" s="1"/>
  <c r="G164" i="1" s="1"/>
  <c r="G166" i="1" s="1"/>
  <c r="H164" i="1" s="1"/>
  <c r="H166" i="1" s="1"/>
  <c r="I164" i="1" s="1"/>
  <c r="I166" i="1" s="1"/>
  <c r="J164" i="1" s="1"/>
  <c r="J166" i="1" s="1"/>
  <c r="K164" i="1" s="1"/>
  <c r="K166" i="1" s="1"/>
  <c r="L164" i="1" s="1"/>
  <c r="L166" i="1" s="1"/>
  <c r="M164" i="1" s="1"/>
  <c r="M166" i="1" s="1"/>
  <c r="N164" i="1" s="1"/>
  <c r="N166" i="1" s="1"/>
  <c r="O164" i="1" s="1"/>
  <c r="O166" i="1" s="1"/>
  <c r="P164" i="1" s="1"/>
  <c r="P166" i="1" s="1"/>
  <c r="Q164" i="1" s="1"/>
  <c r="Q166" i="1" s="1"/>
  <c r="R164" i="1" s="1"/>
  <c r="R166" i="1" s="1"/>
  <c r="S164" i="1" s="1"/>
  <c r="S166" i="1" s="1"/>
  <c r="T164" i="1" s="1"/>
  <c r="T166" i="1" s="1"/>
  <c r="U164" i="1" s="1"/>
  <c r="U166" i="1" s="1"/>
  <c r="V164" i="1" s="1"/>
  <c r="V166" i="1" s="1"/>
  <c r="W164" i="1" s="1"/>
  <c r="W166" i="1" s="1"/>
  <c r="X164" i="1" s="1"/>
  <c r="X166" i="1" s="1"/>
  <c r="Y164" i="1" s="1"/>
  <c r="Y166" i="1" s="1"/>
  <c r="Z164" i="1" s="1"/>
  <c r="Z166" i="1" s="1"/>
  <c r="AA164" i="1" s="1"/>
  <c r="AA166" i="1" s="1"/>
  <c r="AB164" i="1" s="1"/>
  <c r="AB166" i="1" s="1"/>
  <c r="AC164" i="1" s="1"/>
  <c r="AC166" i="1" s="1"/>
  <c r="D213" i="1"/>
  <c r="E168" i="1"/>
  <c r="E170" i="1" s="1"/>
  <c r="F168" i="1" s="1"/>
  <c r="F170" i="1" s="1"/>
  <c r="G168" i="1" s="1"/>
  <c r="G170" i="1" s="1"/>
  <c r="H168" i="1" s="1"/>
  <c r="H170" i="1" s="1"/>
  <c r="I168" i="1" s="1"/>
  <c r="I170" i="1" s="1"/>
  <c r="J168" i="1" s="1"/>
  <c r="J170" i="1" s="1"/>
  <c r="K168" i="1" s="1"/>
  <c r="K170" i="1" s="1"/>
  <c r="L168" i="1" s="1"/>
  <c r="L170" i="1" s="1"/>
  <c r="M168" i="1" s="1"/>
  <c r="M170" i="1" s="1"/>
  <c r="N168" i="1" s="1"/>
  <c r="N170" i="1" s="1"/>
  <c r="O168" i="1" s="1"/>
  <c r="O170" i="1" s="1"/>
  <c r="P168" i="1" s="1"/>
  <c r="P170" i="1" s="1"/>
  <c r="Q168" i="1" s="1"/>
  <c r="Q170" i="1" s="1"/>
  <c r="R168" i="1" s="1"/>
  <c r="R170" i="1" s="1"/>
  <c r="S168" i="1" s="1"/>
  <c r="S170" i="1" s="1"/>
  <c r="T168" i="1" s="1"/>
  <c r="T170" i="1" s="1"/>
  <c r="U168" i="1" s="1"/>
  <c r="U170" i="1" s="1"/>
  <c r="V168" i="1" s="1"/>
  <c r="V170" i="1" s="1"/>
  <c r="W168" i="1" s="1"/>
  <c r="W170" i="1" s="1"/>
  <c r="X168" i="1" s="1"/>
  <c r="X170" i="1" s="1"/>
  <c r="Y168" i="1" s="1"/>
  <c r="Y170" i="1" s="1"/>
  <c r="Z168" i="1" s="1"/>
  <c r="Z170" i="1" s="1"/>
  <c r="AA168" i="1" s="1"/>
  <c r="AA170" i="1" s="1"/>
  <c r="AB168" i="1" s="1"/>
  <c r="AB170" i="1" s="1"/>
  <c r="D219" i="1"/>
  <c r="E274" i="1"/>
  <c r="E313" i="1" s="1"/>
  <c r="E287" i="1"/>
  <c r="E275" i="1" s="1"/>
  <c r="E262" i="1"/>
  <c r="E256" i="1" s="1"/>
  <c r="E255" i="1"/>
  <c r="F67" i="1"/>
  <c r="G67" i="1"/>
  <c r="L67" i="1"/>
  <c r="M67" i="1"/>
  <c r="N67" i="1"/>
  <c r="K67" i="1"/>
  <c r="I67" i="1"/>
  <c r="H67" i="1"/>
  <c r="E61" i="1"/>
  <c r="E33" i="1" s="1"/>
  <c r="T151" i="1" l="1"/>
  <c r="E151" i="1"/>
  <c r="D240" i="1"/>
  <c r="E239" i="1" s="1"/>
  <c r="D238" i="1"/>
  <c r="D214" i="1"/>
  <c r="D216" i="1"/>
  <c r="E215" i="1" s="1"/>
  <c r="D232" i="1"/>
  <c r="D234" i="1"/>
  <c r="E233" i="1" s="1"/>
  <c r="D228" i="1"/>
  <c r="E227" i="1" s="1"/>
  <c r="D226" i="1"/>
  <c r="D204" i="1"/>
  <c r="D202" i="1"/>
  <c r="D210" i="1"/>
  <c r="E209" i="1" s="1"/>
  <c r="D208" i="1"/>
  <c r="D220" i="1"/>
  <c r="D222" i="1"/>
  <c r="E221" i="1" s="1"/>
  <c r="F156" i="1"/>
  <c r="E153" i="1"/>
  <c r="E312" i="1" s="1"/>
  <c r="E311" i="1" s="1"/>
  <c r="U160" i="1"/>
  <c r="T153" i="1"/>
  <c r="E244" i="1"/>
  <c r="E307" i="1"/>
  <c r="E245" i="1"/>
  <c r="E24" i="1"/>
  <c r="E64" i="1" s="1"/>
  <c r="E293" i="1" s="1"/>
  <c r="D196" i="1" l="1"/>
  <c r="Q226" i="1"/>
  <c r="L226" i="1"/>
  <c r="W226" i="1"/>
  <c r="X226" i="1"/>
  <c r="S226" i="1"/>
  <c r="T226" i="1"/>
  <c r="F226" i="1"/>
  <c r="I226" i="1"/>
  <c r="M226" i="1"/>
  <c r="O226" i="1"/>
  <c r="H226" i="1"/>
  <c r="K226" i="1"/>
  <c r="P226" i="1"/>
  <c r="J226" i="1"/>
  <c r="G226" i="1"/>
  <c r="V226" i="1"/>
  <c r="R226" i="1"/>
  <c r="E226" i="1"/>
  <c r="E228" i="1" s="1"/>
  <c r="F227" i="1" s="1"/>
  <c r="N226" i="1"/>
  <c r="Y226" i="1"/>
  <c r="Z226" i="1"/>
  <c r="U226" i="1"/>
  <c r="N220" i="1"/>
  <c r="O220" i="1"/>
  <c r="S220" i="1"/>
  <c r="T220" i="1"/>
  <c r="G220" i="1"/>
  <c r="Z220" i="1"/>
  <c r="K220" i="1"/>
  <c r="V220" i="1"/>
  <c r="J220" i="1"/>
  <c r="Y220" i="1"/>
  <c r="P220" i="1"/>
  <c r="M220" i="1"/>
  <c r="Q220" i="1"/>
  <c r="H220" i="1"/>
  <c r="E220" i="1"/>
  <c r="E222" i="1" s="1"/>
  <c r="F221" i="1" s="1"/>
  <c r="I220" i="1"/>
  <c r="R220" i="1"/>
  <c r="F220" i="1"/>
  <c r="X220" i="1"/>
  <c r="U220" i="1"/>
  <c r="W220" i="1"/>
  <c r="L220" i="1"/>
  <c r="N232" i="1"/>
  <c r="H232" i="1"/>
  <c r="Y232" i="1"/>
  <c r="V232" i="1"/>
  <c r="P232" i="1"/>
  <c r="J232" i="1"/>
  <c r="G232" i="1"/>
  <c r="X232" i="1"/>
  <c r="L232" i="1"/>
  <c r="T232" i="1"/>
  <c r="M232" i="1"/>
  <c r="E232" i="1"/>
  <c r="E234" i="1" s="1"/>
  <c r="F233" i="1" s="1"/>
  <c r="F232" i="1"/>
  <c r="R232" i="1"/>
  <c r="K232" i="1"/>
  <c r="O232" i="1"/>
  <c r="I232" i="1"/>
  <c r="Z232" i="1"/>
  <c r="S232" i="1"/>
  <c r="W232" i="1"/>
  <c r="Q232" i="1"/>
  <c r="U232" i="1"/>
  <c r="R208" i="1"/>
  <c r="S202" i="1"/>
  <c r="E202" i="1"/>
  <c r="N202" i="1"/>
  <c r="F208" i="1"/>
  <c r="W208" i="1"/>
  <c r="K202" i="1"/>
  <c r="J208" i="1"/>
  <c r="U202" i="1"/>
  <c r="V202" i="1"/>
  <c r="N208" i="1"/>
  <c r="I202" i="1"/>
  <c r="M202" i="1"/>
  <c r="T202" i="1"/>
  <c r="J202" i="1"/>
  <c r="M208" i="1"/>
  <c r="H202" i="1"/>
  <c r="Y202" i="1"/>
  <c r="H208" i="1"/>
  <c r="S208" i="1"/>
  <c r="Z202" i="1"/>
  <c r="U208" i="1"/>
  <c r="P202" i="1"/>
  <c r="R202" i="1"/>
  <c r="X208" i="1"/>
  <c r="G202" i="1"/>
  <c r="I208" i="1"/>
  <c r="T208" i="1"/>
  <c r="O202" i="1"/>
  <c r="G208" i="1"/>
  <c r="Q208" i="1"/>
  <c r="Y208" i="1"/>
  <c r="K208" i="1"/>
  <c r="F202" i="1"/>
  <c r="W202" i="1"/>
  <c r="O208" i="1"/>
  <c r="L202" i="1"/>
  <c r="Z208" i="1"/>
  <c r="P208" i="1"/>
  <c r="E208" i="1"/>
  <c r="E210" i="1" s="1"/>
  <c r="F209" i="1" s="1"/>
  <c r="V208" i="1"/>
  <c r="Q202" i="1"/>
  <c r="L208" i="1"/>
  <c r="X202" i="1"/>
  <c r="S214" i="1"/>
  <c r="M214" i="1"/>
  <c r="L214" i="1"/>
  <c r="T214" i="1"/>
  <c r="E214" i="1"/>
  <c r="E216" i="1" s="1"/>
  <c r="F215" i="1" s="1"/>
  <c r="U214" i="1"/>
  <c r="O214" i="1"/>
  <c r="W214" i="1"/>
  <c r="J214" i="1"/>
  <c r="R214" i="1"/>
  <c r="F214" i="1"/>
  <c r="I214" i="1"/>
  <c r="H214" i="1"/>
  <c r="V214" i="1"/>
  <c r="Q214" i="1"/>
  <c r="P214" i="1"/>
  <c r="G214" i="1"/>
  <c r="K214" i="1"/>
  <c r="X214" i="1"/>
  <c r="Z214" i="1"/>
  <c r="N214" i="1"/>
  <c r="Y214" i="1"/>
  <c r="I238" i="1"/>
  <c r="T238" i="1"/>
  <c r="Y238" i="1"/>
  <c r="E238" i="1"/>
  <c r="E240" i="1" s="1"/>
  <c r="F239" i="1" s="1"/>
  <c r="J238" i="1"/>
  <c r="M238" i="1"/>
  <c r="S238" i="1"/>
  <c r="Q238" i="1"/>
  <c r="R238" i="1"/>
  <c r="Z238" i="1"/>
  <c r="L238" i="1"/>
  <c r="P238" i="1"/>
  <c r="W238" i="1"/>
  <c r="H238" i="1"/>
  <c r="N238" i="1"/>
  <c r="F238" i="1"/>
  <c r="X238" i="1"/>
  <c r="U238" i="1"/>
  <c r="V238" i="1"/>
  <c r="K238" i="1"/>
  <c r="O238" i="1"/>
  <c r="G238" i="1"/>
  <c r="E203" i="1"/>
  <c r="D198" i="1"/>
  <c r="U162" i="1"/>
  <c r="U151" i="1"/>
  <c r="F158" i="1"/>
  <c r="F151" i="1"/>
  <c r="E105" i="1"/>
  <c r="E8" i="1"/>
  <c r="E196" i="1" l="1"/>
  <c r="F216" i="1"/>
  <c r="G215" i="1" s="1"/>
  <c r="G216" i="1" s="1"/>
  <c r="H215" i="1" s="1"/>
  <c r="H216" i="1" s="1"/>
  <c r="I215" i="1" s="1"/>
  <c r="I216" i="1" s="1"/>
  <c r="J215" i="1" s="1"/>
  <c r="J216" i="1" s="1"/>
  <c r="K215" i="1" s="1"/>
  <c r="K216" i="1" s="1"/>
  <c r="L215" i="1" s="1"/>
  <c r="L216" i="1" s="1"/>
  <c r="M215" i="1" s="1"/>
  <c r="M216" i="1" s="1"/>
  <c r="N215" i="1" s="1"/>
  <c r="N216" i="1" s="1"/>
  <c r="O215" i="1" s="1"/>
  <c r="O216" i="1" s="1"/>
  <c r="P215" i="1" s="1"/>
  <c r="P216" i="1" s="1"/>
  <c r="Q215" i="1" s="1"/>
  <c r="Q216" i="1" s="1"/>
  <c r="R215" i="1" s="1"/>
  <c r="R216" i="1" s="1"/>
  <c r="S215" i="1" s="1"/>
  <c r="S216" i="1" s="1"/>
  <c r="T215" i="1" s="1"/>
  <c r="T216" i="1" s="1"/>
  <c r="U215" i="1" s="1"/>
  <c r="U216" i="1" s="1"/>
  <c r="V215" i="1" s="1"/>
  <c r="V216" i="1" s="1"/>
  <c r="W215" i="1" s="1"/>
  <c r="W216" i="1" s="1"/>
  <c r="X215" i="1" s="1"/>
  <c r="X216" i="1" s="1"/>
  <c r="Y215" i="1" s="1"/>
  <c r="Y216" i="1" s="1"/>
  <c r="Z215" i="1" s="1"/>
  <c r="Z216" i="1" s="1"/>
  <c r="F234" i="1"/>
  <c r="G233" i="1" s="1"/>
  <c r="F222" i="1"/>
  <c r="G221" i="1" s="1"/>
  <c r="G222" i="1" s="1"/>
  <c r="H221" i="1" s="1"/>
  <c r="H222" i="1" s="1"/>
  <c r="I221" i="1" s="1"/>
  <c r="J196" i="1"/>
  <c r="F210" i="1"/>
  <c r="G209" i="1" s="1"/>
  <c r="I222" i="1"/>
  <c r="J221" i="1" s="1"/>
  <c r="J222" i="1" s="1"/>
  <c r="K221" i="1" s="1"/>
  <c r="K222" i="1" s="1"/>
  <c r="L221" i="1" s="1"/>
  <c r="L222" i="1" s="1"/>
  <c r="M221" i="1" s="1"/>
  <c r="M222" i="1" s="1"/>
  <c r="N221" i="1" s="1"/>
  <c r="N222" i="1" s="1"/>
  <c r="O221" i="1" s="1"/>
  <c r="O222" i="1" s="1"/>
  <c r="P221" i="1" s="1"/>
  <c r="P222" i="1" s="1"/>
  <c r="Q221" i="1" s="1"/>
  <c r="Q222" i="1" s="1"/>
  <c r="R221" i="1" s="1"/>
  <c r="R222" i="1" s="1"/>
  <c r="S221" i="1" s="1"/>
  <c r="S222" i="1" s="1"/>
  <c r="T221" i="1" s="1"/>
  <c r="T222" i="1" s="1"/>
  <c r="U221" i="1" s="1"/>
  <c r="U222" i="1" s="1"/>
  <c r="V221" i="1" s="1"/>
  <c r="V222" i="1" s="1"/>
  <c r="W221" i="1" s="1"/>
  <c r="W222" i="1" s="1"/>
  <c r="X221" i="1" s="1"/>
  <c r="X222" i="1" s="1"/>
  <c r="Y221" i="1" s="1"/>
  <c r="Y222" i="1" s="1"/>
  <c r="Z221" i="1" s="1"/>
  <c r="Z222" i="1" s="1"/>
  <c r="S196" i="1"/>
  <c r="I196" i="1"/>
  <c r="U196" i="1"/>
  <c r="Z196" i="1"/>
  <c r="P196" i="1"/>
  <c r="W196" i="1"/>
  <c r="K196" i="1"/>
  <c r="Y196" i="1"/>
  <c r="Q196" i="1"/>
  <c r="F196" i="1"/>
  <c r="E197" i="1"/>
  <c r="E204" i="1"/>
  <c r="T196" i="1"/>
  <c r="F240" i="1"/>
  <c r="G239" i="1" s="1"/>
  <c r="G240" i="1" s="1"/>
  <c r="H239" i="1" s="1"/>
  <c r="H240" i="1" s="1"/>
  <c r="I239" i="1" s="1"/>
  <c r="I240" i="1" s="1"/>
  <c r="J239" i="1" s="1"/>
  <c r="J240" i="1" s="1"/>
  <c r="K239" i="1" s="1"/>
  <c r="K240" i="1" s="1"/>
  <c r="L239" i="1" s="1"/>
  <c r="L240" i="1" s="1"/>
  <c r="M239" i="1" s="1"/>
  <c r="M240" i="1" s="1"/>
  <c r="N239" i="1" s="1"/>
  <c r="N240" i="1" s="1"/>
  <c r="O239" i="1" s="1"/>
  <c r="O240" i="1" s="1"/>
  <c r="P239" i="1" s="1"/>
  <c r="P240" i="1" s="1"/>
  <c r="Q239" i="1" s="1"/>
  <c r="Q240" i="1" s="1"/>
  <c r="R239" i="1" s="1"/>
  <c r="R240" i="1" s="1"/>
  <c r="S239" i="1" s="1"/>
  <c r="S240" i="1" s="1"/>
  <c r="T239" i="1" s="1"/>
  <c r="T240" i="1" s="1"/>
  <c r="U239" i="1" s="1"/>
  <c r="U240" i="1" s="1"/>
  <c r="V239" i="1" s="1"/>
  <c r="V240" i="1" s="1"/>
  <c r="W239" i="1" s="1"/>
  <c r="W240" i="1" s="1"/>
  <c r="X239" i="1" s="1"/>
  <c r="X240" i="1" s="1"/>
  <c r="Y239" i="1" s="1"/>
  <c r="Y240" i="1" s="1"/>
  <c r="Z239" i="1" s="1"/>
  <c r="Z240" i="1" s="1"/>
  <c r="R196" i="1"/>
  <c r="L196" i="1"/>
  <c r="O196" i="1"/>
  <c r="F228" i="1"/>
  <c r="G227" i="1" s="1"/>
  <c r="G228" i="1" s="1"/>
  <c r="H227" i="1" s="1"/>
  <c r="H228" i="1" s="1"/>
  <c r="I227" i="1" s="1"/>
  <c r="I228" i="1" s="1"/>
  <c r="J227" i="1" s="1"/>
  <c r="J228" i="1" s="1"/>
  <c r="K227" i="1" s="1"/>
  <c r="K228" i="1" s="1"/>
  <c r="L227" i="1" s="1"/>
  <c r="L228" i="1" s="1"/>
  <c r="M227" i="1" s="1"/>
  <c r="M228" i="1" s="1"/>
  <c r="N227" i="1" s="1"/>
  <c r="N228" i="1" s="1"/>
  <c r="O227" i="1" s="1"/>
  <c r="O228" i="1" s="1"/>
  <c r="P227" i="1" s="1"/>
  <c r="P228" i="1" s="1"/>
  <c r="Q227" i="1" s="1"/>
  <c r="Q228" i="1" s="1"/>
  <c r="R227" i="1" s="1"/>
  <c r="R228" i="1" s="1"/>
  <c r="S227" i="1" s="1"/>
  <c r="S228" i="1" s="1"/>
  <c r="T227" i="1" s="1"/>
  <c r="T228" i="1" s="1"/>
  <c r="U227" i="1" s="1"/>
  <c r="U228" i="1" s="1"/>
  <c r="V227" i="1" s="1"/>
  <c r="V228" i="1" s="1"/>
  <c r="W227" i="1" s="1"/>
  <c r="W228" i="1" s="1"/>
  <c r="X227" i="1" s="1"/>
  <c r="X228" i="1" s="1"/>
  <c r="Y227" i="1" s="1"/>
  <c r="Y228" i="1" s="1"/>
  <c r="Z227" i="1" s="1"/>
  <c r="Z228" i="1" s="1"/>
  <c r="V196" i="1"/>
  <c r="H196" i="1"/>
  <c r="G196" i="1"/>
  <c r="X196" i="1"/>
  <c r="N196" i="1"/>
  <c r="G234" i="1"/>
  <c r="H233" i="1" s="1"/>
  <c r="H234" i="1" s="1"/>
  <c r="I233" i="1" s="1"/>
  <c r="I234" i="1" s="1"/>
  <c r="J233" i="1" s="1"/>
  <c r="J234" i="1" s="1"/>
  <c r="K233" i="1" s="1"/>
  <c r="K234" i="1" s="1"/>
  <c r="L233" i="1" s="1"/>
  <c r="L234" i="1" s="1"/>
  <c r="M233" i="1" s="1"/>
  <c r="M234" i="1" s="1"/>
  <c r="N233" i="1" s="1"/>
  <c r="N234" i="1" s="1"/>
  <c r="O233" i="1" s="1"/>
  <c r="O234" i="1" s="1"/>
  <c r="P233" i="1" s="1"/>
  <c r="P234" i="1" s="1"/>
  <c r="Q233" i="1" s="1"/>
  <c r="Q234" i="1" s="1"/>
  <c r="R233" i="1" s="1"/>
  <c r="R234" i="1" s="1"/>
  <c r="S233" i="1" s="1"/>
  <c r="S234" i="1" s="1"/>
  <c r="T233" i="1" s="1"/>
  <c r="T234" i="1" s="1"/>
  <c r="U233" i="1" s="1"/>
  <c r="U234" i="1" s="1"/>
  <c r="V233" i="1" s="1"/>
  <c r="V234" i="1" s="1"/>
  <c r="W233" i="1" s="1"/>
  <c r="W234" i="1" s="1"/>
  <c r="X233" i="1" s="1"/>
  <c r="X234" i="1" s="1"/>
  <c r="Y233" i="1" s="1"/>
  <c r="Y234" i="1" s="1"/>
  <c r="Z233" i="1" s="1"/>
  <c r="Z234" i="1" s="1"/>
  <c r="M196" i="1"/>
  <c r="G156" i="1"/>
  <c r="F153" i="1"/>
  <c r="V160" i="1"/>
  <c r="U153" i="1"/>
  <c r="E65" i="1"/>
  <c r="E188" i="1"/>
  <c r="E110" i="1" s="1"/>
  <c r="F198" i="1" l="1"/>
  <c r="F304" i="1" s="1"/>
  <c r="F303" i="1" s="1"/>
  <c r="F203" i="1"/>
  <c r="F197" i="1" s="1"/>
  <c r="E198" i="1"/>
  <c r="E304" i="1" s="1"/>
  <c r="G210" i="1"/>
  <c r="G197" i="1"/>
  <c r="V162" i="1"/>
  <c r="V151" i="1"/>
  <c r="G158" i="1"/>
  <c r="G151" i="1"/>
  <c r="E189" i="1"/>
  <c r="E294" i="1"/>
  <c r="E296" i="1" s="1"/>
  <c r="E297" i="1" s="1"/>
  <c r="E305" i="1" s="1"/>
  <c r="E106" i="1"/>
  <c r="E108" i="1"/>
  <c r="E317" i="1" s="1"/>
  <c r="G198" i="1" l="1"/>
  <c r="G304" i="1" s="1"/>
  <c r="G303" i="1" s="1"/>
  <c r="H209" i="1"/>
  <c r="E303" i="1"/>
  <c r="F189" i="1"/>
  <c r="G189" i="1" s="1"/>
  <c r="H189" i="1" s="1"/>
  <c r="I189" i="1" s="1"/>
  <c r="J189" i="1" s="1"/>
  <c r="K189" i="1" s="1"/>
  <c r="L189" i="1" s="1"/>
  <c r="M189" i="1" s="1"/>
  <c r="E318" i="1"/>
  <c r="E315" i="1" s="1"/>
  <c r="H156" i="1"/>
  <c r="G153" i="1"/>
  <c r="W160" i="1"/>
  <c r="V153" i="1"/>
  <c r="H197" i="1" l="1"/>
  <c r="H210" i="1"/>
  <c r="W162" i="1"/>
  <c r="W151" i="1"/>
  <c r="H158" i="1"/>
  <c r="H151" i="1"/>
  <c r="I209" i="1" l="1"/>
  <c r="H198" i="1"/>
  <c r="H304" i="1" s="1"/>
  <c r="H303" i="1" s="1"/>
  <c r="I156" i="1"/>
  <c r="H153" i="1"/>
  <c r="X160" i="1"/>
  <c r="W153" i="1"/>
  <c r="I197" i="1" l="1"/>
  <c r="I210" i="1"/>
  <c r="X162" i="1"/>
  <c r="X151" i="1"/>
  <c r="I158" i="1"/>
  <c r="I151" i="1"/>
  <c r="I198" i="1" l="1"/>
  <c r="I304" i="1" s="1"/>
  <c r="I303" i="1" s="1"/>
  <c r="J209" i="1"/>
  <c r="J156" i="1"/>
  <c r="I153" i="1"/>
  <c r="Y160" i="1"/>
  <c r="X153" i="1"/>
  <c r="J210" i="1" l="1"/>
  <c r="J197" i="1"/>
  <c r="Y162" i="1"/>
  <c r="Y151" i="1"/>
  <c r="J158" i="1"/>
  <c r="J151" i="1"/>
  <c r="J198" i="1" l="1"/>
  <c r="J304" i="1" s="1"/>
  <c r="J303" i="1" s="1"/>
  <c r="K209" i="1"/>
  <c r="K156" i="1"/>
  <c r="J153" i="1"/>
  <c r="Z160" i="1"/>
  <c r="Y153" i="1"/>
  <c r="K197" i="1" l="1"/>
  <c r="K210" i="1"/>
  <c r="Z162" i="1"/>
  <c r="Z151" i="1"/>
  <c r="K158" i="1"/>
  <c r="K151" i="1"/>
  <c r="K198" i="1" l="1"/>
  <c r="K304" i="1" s="1"/>
  <c r="L209" i="1"/>
  <c r="L156" i="1"/>
  <c r="K153" i="1"/>
  <c r="AA160" i="1"/>
  <c r="Z153" i="1"/>
  <c r="L197" i="1" l="1"/>
  <c r="L210" i="1"/>
  <c r="AA162" i="1"/>
  <c r="AA151" i="1"/>
  <c r="L158" i="1"/>
  <c r="L151" i="1"/>
  <c r="L198" i="1" l="1"/>
  <c r="L304" i="1" s="1"/>
  <c r="M209" i="1"/>
  <c r="M156" i="1"/>
  <c r="L153" i="1"/>
  <c r="AB160" i="1"/>
  <c r="AA153" i="1"/>
  <c r="M197" i="1" l="1"/>
  <c r="M210" i="1"/>
  <c r="AB162" i="1"/>
  <c r="AB151" i="1"/>
  <c r="M158" i="1"/>
  <c r="M151" i="1"/>
  <c r="M198" i="1" l="1"/>
  <c r="M304" i="1" s="1"/>
  <c r="N209" i="1"/>
  <c r="N156" i="1"/>
  <c r="M153" i="1"/>
  <c r="AC160" i="1"/>
  <c r="AB153" i="1"/>
  <c r="N197" i="1" l="1"/>
  <c r="N210" i="1"/>
  <c r="AC162" i="1"/>
  <c r="AC151" i="1"/>
  <c r="N158" i="1"/>
  <c r="N151" i="1"/>
  <c r="N198" i="1" l="1"/>
  <c r="N304" i="1" s="1"/>
  <c r="O209" i="1"/>
  <c r="O156" i="1"/>
  <c r="N153" i="1"/>
  <c r="AD160" i="1"/>
  <c r="AC153" i="1"/>
  <c r="O197" i="1" l="1"/>
  <c r="O210" i="1"/>
  <c r="AD162" i="1"/>
  <c r="AD151" i="1"/>
  <c r="O158" i="1"/>
  <c r="O151" i="1"/>
  <c r="O198" i="1" l="1"/>
  <c r="O304" i="1" s="1"/>
  <c r="P209" i="1"/>
  <c r="P156" i="1"/>
  <c r="O153" i="1"/>
  <c r="AE160" i="1"/>
  <c r="AD153" i="1"/>
  <c r="P197" i="1" l="1"/>
  <c r="P210" i="1"/>
  <c r="AE162" i="1"/>
  <c r="AE151" i="1"/>
  <c r="P158" i="1"/>
  <c r="P151" i="1"/>
  <c r="P198" i="1" l="1"/>
  <c r="P304" i="1" s="1"/>
  <c r="Q209" i="1"/>
  <c r="Q156" i="1"/>
  <c r="P153" i="1"/>
  <c r="AF160" i="1"/>
  <c r="AE153" i="1"/>
  <c r="Q197" i="1" l="1"/>
  <c r="Q210" i="1"/>
  <c r="AF162" i="1"/>
  <c r="AF151" i="1"/>
  <c r="Q158" i="1"/>
  <c r="Q151" i="1"/>
  <c r="Q198" i="1" l="1"/>
  <c r="R209" i="1"/>
  <c r="R156" i="1"/>
  <c r="Q153" i="1"/>
  <c r="AG160" i="1"/>
  <c r="AF153" i="1"/>
  <c r="R197" i="1" l="1"/>
  <c r="R210" i="1"/>
  <c r="AG162" i="1"/>
  <c r="AG151" i="1"/>
  <c r="R158" i="1"/>
  <c r="R151" i="1"/>
  <c r="S209" i="1" l="1"/>
  <c r="R198" i="1"/>
  <c r="S156" i="1"/>
  <c r="R153" i="1"/>
  <c r="AH160" i="1"/>
  <c r="AG153" i="1"/>
  <c r="S210" i="1" l="1"/>
  <c r="S197" i="1"/>
  <c r="AH162" i="1"/>
  <c r="AH151" i="1"/>
  <c r="S158" i="1"/>
  <c r="S153" i="1" s="1"/>
  <c r="S151" i="1"/>
  <c r="T209" i="1" l="1"/>
  <c r="S198" i="1"/>
  <c r="AI160" i="1"/>
  <c r="AH153" i="1"/>
  <c r="T210" i="1" l="1"/>
  <c r="T197" i="1"/>
  <c r="AI162" i="1"/>
  <c r="AI151" i="1"/>
  <c r="U209" i="1" l="1"/>
  <c r="T198" i="1"/>
  <c r="AJ160" i="1"/>
  <c r="AI153" i="1"/>
  <c r="U210" i="1" l="1"/>
  <c r="U197" i="1"/>
  <c r="AJ162" i="1"/>
  <c r="AJ151" i="1"/>
  <c r="V209" i="1" l="1"/>
  <c r="U198" i="1"/>
  <c r="AK160" i="1"/>
  <c r="AJ153" i="1"/>
  <c r="V210" i="1" l="1"/>
  <c r="V197" i="1"/>
  <c r="AK162" i="1"/>
  <c r="AK153" i="1" s="1"/>
  <c r="AK151" i="1"/>
  <c r="W209" i="1" l="1"/>
  <c r="V198" i="1"/>
  <c r="W210" i="1" l="1"/>
  <c r="W197" i="1"/>
  <c r="X209" i="1" l="1"/>
  <c r="W198" i="1"/>
  <c r="X210" i="1" l="1"/>
  <c r="X197" i="1"/>
  <c r="Y209" i="1" l="1"/>
  <c r="X198" i="1"/>
  <c r="Y210" i="1" l="1"/>
  <c r="Y197" i="1"/>
  <c r="Z209" i="1" l="1"/>
  <c r="Y198" i="1"/>
  <c r="Z210" i="1" l="1"/>
  <c r="Z198" i="1" s="1"/>
  <c r="Z197" i="1"/>
</calcChain>
</file>

<file path=xl/sharedStrings.xml><?xml version="1.0" encoding="utf-8"?>
<sst xmlns="http://schemas.openxmlformats.org/spreadsheetml/2006/main" count="327" uniqueCount="201">
  <si>
    <t>Маржинальная прибыль</t>
  </si>
  <si>
    <t>Общепроизводственные расходы</t>
  </si>
  <si>
    <t>Инженер</t>
  </si>
  <si>
    <t>Наладчик</t>
  </si>
  <si>
    <t>Сервисный инженер</t>
  </si>
  <si>
    <t>Услуги подрядчиков</t>
  </si>
  <si>
    <t>Доставка</t>
  </si>
  <si>
    <t>Командировка</t>
  </si>
  <si>
    <t>Прямые</t>
  </si>
  <si>
    <t>постоянные</t>
  </si>
  <si>
    <t>Косвенные</t>
  </si>
  <si>
    <t>то что можно четко отнести на конкретное направление</t>
  </si>
  <si>
    <t>переменные</t>
  </si>
  <si>
    <t>меняются пропорционально выручке</t>
  </si>
  <si>
    <t>не зависят на прямую от выруки</t>
  </si>
  <si>
    <t>Переменные расходы (прямые)</t>
  </si>
  <si>
    <t>есть общий подход для расчета</t>
  </si>
  <si>
    <t>маржинальности и валовой прибыли по направлениям</t>
  </si>
  <si>
    <t>но если мы четко понимаем что какие-то расходы</t>
  </si>
  <si>
    <t>четко ложаться на конкретное направление</t>
  </si>
  <si>
    <t>то под моделью в подвале мы делаем для информации</t>
  </si>
  <si>
    <t>например кредит четко под это направление</t>
  </si>
  <si>
    <t>лизинг четко под это направление</t>
  </si>
  <si>
    <t>амортизация четко под это направление</t>
  </si>
  <si>
    <t>налог четко под это направление</t>
  </si>
  <si>
    <t>и тд</t>
  </si>
  <si>
    <t>расчет маржи и валовой прибыли с учетом всех этих расходов</t>
  </si>
  <si>
    <t>Сравниваем направления</t>
  </si>
  <si>
    <t>первое - направление покрывает свои расходы</t>
  </si>
  <si>
    <t>второе - есть вклад в общаг</t>
  </si>
  <si>
    <t>два варианта опиу</t>
  </si>
  <si>
    <t>по направлениям</t>
  </si>
  <si>
    <t>по переменные постоянные</t>
  </si>
  <si>
    <t>прямые и косвенные</t>
  </si>
  <si>
    <t>Н1</t>
  </si>
  <si>
    <t>Н2</t>
  </si>
  <si>
    <t>Н3</t>
  </si>
  <si>
    <t>переменные прямые</t>
  </si>
  <si>
    <t>общепроизводственные прямые постоянные</t>
  </si>
  <si>
    <t>косвенные административные</t>
  </si>
  <si>
    <t>косвенные коммерческие</t>
  </si>
  <si>
    <t>Выручка ОД</t>
  </si>
  <si>
    <t>Себестоимсоть сырья ОД</t>
  </si>
  <si>
    <t>Заработная плата ОД</t>
  </si>
  <si>
    <t>Оборудование и инструменты</t>
  </si>
  <si>
    <t>Валовая прибыль</t>
  </si>
  <si>
    <t>рентабельность по валовой прибыли направления</t>
  </si>
  <si>
    <t>рентабельность по маржинальной прибыли направления</t>
  </si>
  <si>
    <t>Косвенные расходы</t>
  </si>
  <si>
    <t>Косвенные коммерческие</t>
  </si>
  <si>
    <t>Косвенные административные</t>
  </si>
  <si>
    <t>Заработная плата отдела продаж</t>
  </si>
  <si>
    <t>Расходы на рекламу</t>
  </si>
  <si>
    <t>Прочие расходы</t>
  </si>
  <si>
    <t>Постоянная</t>
  </si>
  <si>
    <t>Переменная</t>
  </si>
  <si>
    <t>Аренда офиса и коммунальные</t>
  </si>
  <si>
    <t>Перхушково (аренда)</t>
  </si>
  <si>
    <t>Перхушково (коммунальные)</t>
  </si>
  <si>
    <t>Одинцово (аренда)</t>
  </si>
  <si>
    <t>Одинцово (коммунальные)</t>
  </si>
  <si>
    <t>Калининград (аренда)</t>
  </si>
  <si>
    <t>Калининград (коммунальные)</t>
  </si>
  <si>
    <t>Крым (аренда)</t>
  </si>
  <si>
    <t>Крым (коммунальные)</t>
  </si>
  <si>
    <t>Содержание офиса</t>
  </si>
  <si>
    <t>Заработная плата адм. персонала</t>
  </si>
  <si>
    <t>Генеральный директор</t>
  </si>
  <si>
    <t>Административный директор</t>
  </si>
  <si>
    <t>Главный бухгалтер</t>
  </si>
  <si>
    <t>Бухгалтер</t>
  </si>
  <si>
    <t>Финансовый менеджер</t>
  </si>
  <si>
    <t>РКО</t>
  </si>
  <si>
    <t>Логистика</t>
  </si>
  <si>
    <t>Интернет сервисы</t>
  </si>
  <si>
    <t>Налоги с ФОТ</t>
  </si>
  <si>
    <t>Обслуживание, ремонт, страховка авто</t>
  </si>
  <si>
    <t>Топливо</t>
  </si>
  <si>
    <t>Прочее</t>
  </si>
  <si>
    <t>Битрикс24</t>
  </si>
  <si>
    <t>Мой склад</t>
  </si>
  <si>
    <t>1с</t>
  </si>
  <si>
    <t>10%+50%</t>
  </si>
  <si>
    <t>Фиксированные взносы и налоги ИП</t>
  </si>
  <si>
    <t>Лизинг-001</t>
  </si>
  <si>
    <t>Лизинг-002</t>
  </si>
  <si>
    <t>Лизинг-003</t>
  </si>
  <si>
    <t>Лизинг-004</t>
  </si>
  <si>
    <t>Лизинг-005</t>
  </si>
  <si>
    <t>Лизинг-006</t>
  </si>
  <si>
    <t>Лизинг-007</t>
  </si>
  <si>
    <t>Проценты по лизингу</t>
  </si>
  <si>
    <t>Проценты по кредиту</t>
  </si>
  <si>
    <t>Амортизация</t>
  </si>
  <si>
    <t>Авто-001 (Ларгус1)</t>
  </si>
  <si>
    <t>Авто-002 (Ларгус2)</t>
  </si>
  <si>
    <t>Авто-003 (Гранта)</t>
  </si>
  <si>
    <t>Авто-004 (Audi)</t>
  </si>
  <si>
    <t>Авто-005 (Volvo)</t>
  </si>
  <si>
    <t>Авто-006 (Haval)</t>
  </si>
  <si>
    <t>Авто-007 (Skoda)</t>
  </si>
  <si>
    <t>Кредит008 ГлобалМ Тбанк (10 000 000 руб)</t>
  </si>
  <si>
    <t>Кредит006 Анатолий Сбер (26 450 руб)</t>
  </si>
  <si>
    <t>Кредит007 Анатолий Альфа (20 400 руб)</t>
  </si>
  <si>
    <t>Кредит003 ГлобалМ Сбер (7 354 285 руб) 26 мес с 14-01-2026</t>
  </si>
  <si>
    <t>Кредит001 ГлобалМ Сбер (4 420 000 руб) 17 мес с 19-01-2026</t>
  </si>
  <si>
    <t>Кредит002 ИП Карасев Сбер (4 167 765 руб) 33 мес с 21-01-2026</t>
  </si>
  <si>
    <t>Кредит004 ИП Шалимов Сбер (5 333 333 руб) 24 мес с 26-01-2026</t>
  </si>
  <si>
    <t>Кредит005 ИП Шалимов Сбер (268 325 руб) 16 мес с 19-01-2026</t>
  </si>
  <si>
    <t>Расходы после операционной прибыли</t>
  </si>
  <si>
    <t>Чистая прибыль</t>
  </si>
  <si>
    <t>рентабельность по чистой прибыли</t>
  </si>
  <si>
    <t>ЧП накопленным итогом</t>
  </si>
  <si>
    <t>Финансовая деятельность</t>
  </si>
  <si>
    <t>Кредит на начало месяца</t>
  </si>
  <si>
    <t>Тело кредита</t>
  </si>
  <si>
    <t>Кредит на конец месяца</t>
  </si>
  <si>
    <t>Кредит001</t>
  </si>
  <si>
    <t>Кредит002</t>
  </si>
  <si>
    <t>Кредит003</t>
  </si>
  <si>
    <t>Кредит004</t>
  </si>
  <si>
    <t>Кредит005</t>
  </si>
  <si>
    <t>Кредит006</t>
  </si>
  <si>
    <t>Кредит007</t>
  </si>
  <si>
    <t>Кредит008</t>
  </si>
  <si>
    <t>Кредит (тело)</t>
  </si>
  <si>
    <t>Лизинг (тело)</t>
  </si>
  <si>
    <t>Лизинг на начало месяца</t>
  </si>
  <si>
    <t>Тело Лизинга</t>
  </si>
  <si>
    <t>Лизинг на конец месяца</t>
  </si>
  <si>
    <t>Лизинг007 (Skoda Karoq)</t>
  </si>
  <si>
    <t>Лизинг006 (Haval Dargo)</t>
  </si>
  <si>
    <t>Лизинг005 (Volvo хс60)</t>
  </si>
  <si>
    <t>Лизинг004 (Audi А6)</t>
  </si>
  <si>
    <t>Лизинг003 (Лада Гранта)</t>
  </si>
  <si>
    <t>Лизинг002 (Лада Ларгус)</t>
  </si>
  <si>
    <t>Лизинг001 (Лада Ларгус)</t>
  </si>
  <si>
    <t>Дивиденды</t>
  </si>
  <si>
    <t>дивиденды накопленным итогом</t>
  </si>
  <si>
    <t>Инвестиционная деятельность</t>
  </si>
  <si>
    <t>Вложения собственника</t>
  </si>
  <si>
    <t>Сумма купленных ОС</t>
  </si>
  <si>
    <t>Сумма ежемесячной амортизации</t>
  </si>
  <si>
    <t>Основные средства на начальный период</t>
  </si>
  <si>
    <t>Основные средства на конечный период</t>
  </si>
  <si>
    <t>Срок полезного использования ОС, в мес.</t>
  </si>
  <si>
    <t>Авто001 (Лада Ларгус)</t>
  </si>
  <si>
    <t>Авто002 (Лада Ларгус)</t>
  </si>
  <si>
    <t>Авто003 (Лада Гранта)</t>
  </si>
  <si>
    <t>Авто004 (Audi А6)</t>
  </si>
  <si>
    <t>Авто005 (Volvo хс60)</t>
  </si>
  <si>
    <t>Авто006 (Haval Dargo)</t>
  </si>
  <si>
    <t>Авто007 (Skoda Karoq)</t>
  </si>
  <si>
    <t>Оборотный капитал</t>
  </si>
  <si>
    <t>Изменение оборотного капитала</t>
  </si>
  <si>
    <t>Запасы</t>
  </si>
  <si>
    <t>Период оборота запасов, дн</t>
  </si>
  <si>
    <t>Запасы на начало месяца</t>
  </si>
  <si>
    <t>Запасы на конец месяца</t>
  </si>
  <si>
    <t>Изменение запасов</t>
  </si>
  <si>
    <t>Дебиторская задолженность</t>
  </si>
  <si>
    <t>Период оборота ДЗ, дн</t>
  </si>
  <si>
    <t>ДЗ на начало месяца</t>
  </si>
  <si>
    <t>ДЗ на конец месяца</t>
  </si>
  <si>
    <t>Изменение ДЗ</t>
  </si>
  <si>
    <t>Нам должны поставщики отгрузить товаров</t>
  </si>
  <si>
    <t>Нам должны клиенты денег за отгруженные нами товары</t>
  </si>
  <si>
    <t>Кредиторская задолженность</t>
  </si>
  <si>
    <t>Период оборота КЗ, дн</t>
  </si>
  <si>
    <t>КЗ на начало месяца</t>
  </si>
  <si>
    <t>КЗ на конец месяца</t>
  </si>
  <si>
    <t>Изменение КЗ</t>
  </si>
  <si>
    <t>Мы должны поставщикам деньги</t>
  </si>
  <si>
    <t>Мы должны клиентам товары</t>
  </si>
  <si>
    <t>ДДС</t>
  </si>
  <si>
    <t>Деньги на начало месяца</t>
  </si>
  <si>
    <t>Денежный поток по операционной деятельности</t>
  </si>
  <si>
    <t>Денежный поток по финансовой деятельности</t>
  </si>
  <si>
    <t>Денежный поток по инвестиционной деятельности</t>
  </si>
  <si>
    <t>Чистый денежный поток</t>
  </si>
  <si>
    <t>Деньги на конец месяца</t>
  </si>
  <si>
    <t>Баланс</t>
  </si>
  <si>
    <t>Активы</t>
  </si>
  <si>
    <t>Собственный капитал</t>
  </si>
  <si>
    <t>Обязательства</t>
  </si>
  <si>
    <t>Основные средства</t>
  </si>
  <si>
    <t>Деньги</t>
  </si>
  <si>
    <t>Уставной капитал</t>
  </si>
  <si>
    <t>Накопленная прибыль</t>
  </si>
  <si>
    <t>Кредиты и займы</t>
  </si>
  <si>
    <t>s</t>
  </si>
  <si>
    <t>Налог на прибыль</t>
  </si>
  <si>
    <t>прочее</t>
  </si>
  <si>
    <t>Справочно</t>
  </si>
  <si>
    <t>z</t>
  </si>
  <si>
    <t>Зарплата всего</t>
  </si>
  <si>
    <t>Благотворительные пожертвования 100тр</t>
  </si>
  <si>
    <t>Операционная прибыль до амортизации (EBITDA)</t>
  </si>
  <si>
    <t>рентабельность по EBITDA</t>
  </si>
  <si>
    <t>Операционная прибыль (EBIT)</t>
  </si>
  <si>
    <t>Прибыль до налогов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</si>
</sst>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theme="0" tint="-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indent="2"/>
    </xf>
    <xf numFmtId="0" fontId="2" fillId="0" borderId="1" xfId="0" applyFont="1" applyBorder="1"/>
    <xf numFmtId="3" fontId="0" fillId="0" borderId="0" xfId="0" applyNumberFormat="1"/>
    <xf numFmtId="3" fontId="2" fillId="0" borderId="0" xfId="0" applyNumberFormat="1" applyFont="1"/>
    <xf numFmtId="0" fontId="2" fillId="0" borderId="0" xfId="0" applyFont="1" applyBorder="1"/>
    <xf numFmtId="9" fontId="0" fillId="0" borderId="0" xfId="0" applyNumberFormat="1" applyAlignment="1">
      <alignment horizontal="left" indent="2"/>
    </xf>
    <xf numFmtId="9" fontId="0" fillId="0" borderId="0" xfId="1" applyFont="1"/>
    <xf numFmtId="9" fontId="0" fillId="0" borderId="0" xfId="0" applyNumberFormat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left" indent="4"/>
    </xf>
    <xf numFmtId="3" fontId="3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left" indent="2"/>
    </xf>
    <xf numFmtId="3" fontId="0" fillId="0" borderId="0" xfId="0" applyNumberFormat="1" applyAlignment="1">
      <alignment horizontal="right"/>
    </xf>
    <xf numFmtId="0" fontId="2" fillId="3" borderId="1" xfId="0" applyFont="1" applyFill="1" applyBorder="1"/>
    <xf numFmtId="0" fontId="0" fillId="3" borderId="0" xfId="0" applyFill="1"/>
    <xf numFmtId="3" fontId="2" fillId="3" borderId="0" xfId="0" applyNumberFormat="1" applyFont="1" applyFill="1"/>
    <xf numFmtId="3" fontId="5" fillId="2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6" fillId="0" borderId="0" xfId="0" applyFont="1" applyAlignment="1">
      <alignment horizontal="left" indent="4"/>
    </xf>
    <xf numFmtId="0" fontId="6" fillId="0" borderId="0" xfId="0" applyFont="1"/>
    <xf numFmtId="0" fontId="6" fillId="0" borderId="0" xfId="0" applyFont="1" applyAlignment="1">
      <alignment horizontal="left" indent="2"/>
    </xf>
    <xf numFmtId="0" fontId="0" fillId="0" borderId="0" xfId="0" applyFont="1" applyFill="1" applyBorder="1"/>
    <xf numFmtId="3" fontId="6" fillId="0" borderId="0" xfId="0" applyNumberFormat="1" applyFont="1"/>
    <xf numFmtId="3" fontId="7" fillId="0" borderId="0" xfId="0" applyNumberFormat="1" applyFont="1"/>
    <xf numFmtId="164" fontId="0" fillId="0" borderId="0" xfId="2" applyNumberFormat="1" applyFont="1"/>
    <xf numFmtId="164" fontId="0" fillId="0" borderId="0" xfId="0" applyNumberFormat="1"/>
    <xf numFmtId="0" fontId="8" fillId="0" borderId="0" xfId="0" applyFont="1"/>
    <xf numFmtId="17" fontId="0" fillId="0" borderId="0" xfId="0" applyNumberFormat="1"/>
  </cellXfs>
  <cellStyles count="3">
    <cellStyle name="Обычный" xfId="0" builtinId="0"/>
    <cellStyle name="Процентный" xfId="1" builtinId="5"/>
    <cellStyle name="Финансовый" xfId="2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8450-E3C2-4F25-98FA-58A5955ECCC3}">
  <sheetPr>
    <outlinePr summaryBelow="0"/>
  </sheetPr>
  <dimension ref="A1:AK373"/>
  <sheetViews>
    <sheetView tabSelected="1" topLeftCell="A193" workbookViewId="0">
      <selection activeCell="C99" sqref="C99"/>
    </sheetView>
  </sheetViews>
  <sheetFormatPr defaultRowHeight="14.4" outlineLevelRow="2" x14ac:dyDescent="0.3"/>
  <cols>
    <col min="1" max="1" width="3.21875" style="33" customWidth="1"/>
    <col min="2" max="2" width="3.109375" style="33" customWidth="1"/>
    <col min="3" max="3" width="65.33203125" customWidth="1"/>
    <col min="4" max="4" width="14.44140625" customWidth="1"/>
    <col min="5" max="16" width="11.5546875" customWidth="1"/>
    <col min="17" max="22" width="9.77734375" customWidth="1"/>
  </cols>
  <sheetData>
    <row r="1" spans="1:13" x14ac:dyDescent="0.3">
      <c r="E1" s="34">
        <v>46023</v>
      </c>
    </row>
    <row r="2" spans="1:13" x14ac:dyDescent="0.3">
      <c r="C2" s="2" t="s">
        <v>41</v>
      </c>
      <c r="D2" s="5"/>
      <c r="E2" s="4">
        <v>8000000</v>
      </c>
    </row>
    <row r="3" spans="1:13" ht="15" thickBot="1" x14ac:dyDescent="0.35">
      <c r="C3" s="1"/>
      <c r="D3" s="1"/>
      <c r="E3" s="3"/>
      <c r="K3" t="s">
        <v>34</v>
      </c>
      <c r="L3" t="s">
        <v>35</v>
      </c>
      <c r="M3" t="s">
        <v>36</v>
      </c>
    </row>
    <row r="4" spans="1:13" ht="15" thickBot="1" x14ac:dyDescent="0.35">
      <c r="C4" s="2" t="s">
        <v>15</v>
      </c>
      <c r="D4" s="5"/>
      <c r="E4" s="4">
        <f>SUM(E5)</f>
        <v>-1600000</v>
      </c>
      <c r="I4" s="10" t="s">
        <v>37</v>
      </c>
      <c r="J4" s="10"/>
      <c r="K4" s="9"/>
      <c r="L4" s="9"/>
      <c r="M4" s="9"/>
    </row>
    <row r="5" spans="1:13" ht="15" thickBot="1" x14ac:dyDescent="0.35">
      <c r="B5" s="33" t="s">
        <v>190</v>
      </c>
      <c r="C5" s="1" t="s">
        <v>42</v>
      </c>
      <c r="D5" s="6">
        <v>0.2</v>
      </c>
      <c r="E5" s="3">
        <f>-E2*D5</f>
        <v>-1600000</v>
      </c>
      <c r="I5" s="10" t="s">
        <v>38</v>
      </c>
      <c r="J5" s="10"/>
      <c r="K5" s="11"/>
      <c r="L5" s="12"/>
      <c r="M5" s="9"/>
    </row>
    <row r="6" spans="1:13" ht="15" thickBot="1" x14ac:dyDescent="0.35">
      <c r="I6" s="10" t="s">
        <v>40</v>
      </c>
      <c r="J6" s="10"/>
      <c r="K6" s="9"/>
      <c r="L6" s="12"/>
      <c r="M6" s="9"/>
    </row>
    <row r="7" spans="1:13" ht="15" thickBot="1" x14ac:dyDescent="0.35">
      <c r="C7" s="19" t="s">
        <v>0</v>
      </c>
      <c r="D7" s="20"/>
      <c r="E7" s="21">
        <f>E2+E4</f>
        <v>6400000</v>
      </c>
      <c r="I7" s="10" t="s">
        <v>39</v>
      </c>
      <c r="J7" s="10"/>
      <c r="K7" s="11"/>
      <c r="L7" s="13"/>
      <c r="M7" s="12"/>
    </row>
    <row r="8" spans="1:13" x14ac:dyDescent="0.3">
      <c r="C8" s="1" t="s">
        <v>47</v>
      </c>
      <c r="E8" s="7">
        <f>E7/E2</f>
        <v>0.8</v>
      </c>
    </row>
    <row r="9" spans="1:13" x14ac:dyDescent="0.3">
      <c r="C9" s="1"/>
      <c r="D9" s="6"/>
      <c r="E9" s="3"/>
    </row>
    <row r="10" spans="1:13" x14ac:dyDescent="0.3">
      <c r="C10" s="2" t="s">
        <v>1</v>
      </c>
      <c r="D10" s="5"/>
      <c r="E10" s="4">
        <f>SUMIFS(E11:E18,B11:B18,"s")</f>
        <v>-1780000</v>
      </c>
    </row>
    <row r="11" spans="1:13" collapsed="1" x14ac:dyDescent="0.3">
      <c r="A11" s="33" t="s">
        <v>194</v>
      </c>
      <c r="B11" s="33" t="s">
        <v>190</v>
      </c>
      <c r="C11" s="1" t="s">
        <v>43</v>
      </c>
      <c r="D11" s="1"/>
      <c r="E11" s="3">
        <f>SUM(E12:E14)</f>
        <v>-260000</v>
      </c>
    </row>
    <row r="12" spans="1:13" hidden="1" outlineLevel="1" x14ac:dyDescent="0.3">
      <c r="C12" s="14" t="s">
        <v>2</v>
      </c>
      <c r="D12" s="17"/>
      <c r="E12" s="15">
        <v>-90000</v>
      </c>
    </row>
    <row r="13" spans="1:13" hidden="1" outlineLevel="1" x14ac:dyDescent="0.3">
      <c r="C13" s="14" t="s">
        <v>3</v>
      </c>
      <c r="D13" s="17"/>
      <c r="E13" s="15">
        <v>-80000</v>
      </c>
    </row>
    <row r="14" spans="1:13" hidden="1" outlineLevel="1" x14ac:dyDescent="0.3">
      <c r="C14" s="14" t="s">
        <v>4</v>
      </c>
      <c r="D14" s="17"/>
      <c r="E14" s="15">
        <v>-90000</v>
      </c>
    </row>
    <row r="15" spans="1:13" x14ac:dyDescent="0.3">
      <c r="B15" s="33" t="s">
        <v>190</v>
      </c>
      <c r="C15" s="1" t="s">
        <v>5</v>
      </c>
      <c r="D15" s="8">
        <v>0.1</v>
      </c>
      <c r="E15" s="3">
        <f>-E2*D15</f>
        <v>-800000</v>
      </c>
    </row>
    <row r="16" spans="1:13" x14ac:dyDescent="0.3">
      <c r="B16" s="33" t="s">
        <v>190</v>
      </c>
      <c r="C16" s="1" t="s">
        <v>6</v>
      </c>
      <c r="D16" s="8">
        <v>0.03</v>
      </c>
      <c r="E16" s="3">
        <f>-E2*D16</f>
        <v>-240000</v>
      </c>
    </row>
    <row r="17" spans="1:5" x14ac:dyDescent="0.3">
      <c r="B17" s="33" t="s">
        <v>190</v>
      </c>
      <c r="C17" s="1" t="s">
        <v>7</v>
      </c>
      <c r="D17" s="8">
        <v>0.05</v>
      </c>
      <c r="E17" s="3">
        <f>-E2*D17</f>
        <v>-400000</v>
      </c>
    </row>
    <row r="18" spans="1:5" x14ac:dyDescent="0.3">
      <c r="B18" s="33" t="s">
        <v>190</v>
      </c>
      <c r="C18" s="1" t="s">
        <v>44</v>
      </c>
      <c r="D18" s="8">
        <v>0.01</v>
      </c>
      <c r="E18" s="3">
        <f>-E2*D18</f>
        <v>-80000</v>
      </c>
    </row>
    <row r="20" spans="1:5" x14ac:dyDescent="0.3">
      <c r="C20" s="19" t="s">
        <v>45</v>
      </c>
      <c r="D20" s="20"/>
      <c r="E20" s="21">
        <f>E7+E10</f>
        <v>4620000</v>
      </c>
    </row>
    <row r="21" spans="1:5" x14ac:dyDescent="0.3">
      <c r="C21" s="1" t="s">
        <v>46</v>
      </c>
      <c r="E21" s="7">
        <f>E20/E2</f>
        <v>0.57750000000000001</v>
      </c>
    </row>
    <row r="24" spans="1:5" x14ac:dyDescent="0.3">
      <c r="C24" s="2" t="s">
        <v>48</v>
      </c>
      <c r="D24" s="5"/>
      <c r="E24" s="4">
        <f>E26+E33</f>
        <v>-2700000</v>
      </c>
    </row>
    <row r="25" spans="1:5" x14ac:dyDescent="0.3">
      <c r="E25" s="3"/>
    </row>
    <row r="26" spans="1:5" x14ac:dyDescent="0.3">
      <c r="C26" s="2" t="s">
        <v>49</v>
      </c>
      <c r="E26" s="4">
        <f>SUMIFS(E27:E32,B27:B32,"s")</f>
        <v>-760000</v>
      </c>
    </row>
    <row r="27" spans="1:5" collapsed="1" x14ac:dyDescent="0.3">
      <c r="A27" s="33" t="s">
        <v>194</v>
      </c>
      <c r="B27" s="33" t="s">
        <v>190</v>
      </c>
      <c r="C27" s="1" t="s">
        <v>51</v>
      </c>
      <c r="D27" s="1"/>
      <c r="E27" s="3">
        <f>E28+E29</f>
        <v>-510000</v>
      </c>
    </row>
    <row r="28" spans="1:5" hidden="1" outlineLevel="1" x14ac:dyDescent="0.3">
      <c r="C28" s="14" t="s">
        <v>54</v>
      </c>
      <c r="D28" s="15">
        <v>350000</v>
      </c>
      <c r="E28" s="15">
        <f>-D28</f>
        <v>-350000</v>
      </c>
    </row>
    <row r="29" spans="1:5" hidden="1" outlineLevel="1" x14ac:dyDescent="0.3">
      <c r="C29" s="14" t="s">
        <v>55</v>
      </c>
      <c r="D29" s="16">
        <v>0.02</v>
      </c>
      <c r="E29" s="15">
        <f>-E2*D29</f>
        <v>-160000</v>
      </c>
    </row>
    <row r="30" spans="1:5" x14ac:dyDescent="0.3">
      <c r="B30" s="33" t="s">
        <v>190</v>
      </c>
      <c r="C30" s="1" t="s">
        <v>52</v>
      </c>
      <c r="D30" s="3">
        <v>200000</v>
      </c>
      <c r="E30" s="3">
        <f>-D30</f>
        <v>-200000</v>
      </c>
    </row>
    <row r="31" spans="1:5" x14ac:dyDescent="0.3">
      <c r="B31" s="33" t="s">
        <v>190</v>
      </c>
      <c r="C31" s="1" t="s">
        <v>53</v>
      </c>
      <c r="D31" s="3">
        <v>50000</v>
      </c>
      <c r="E31" s="3">
        <f>-D31</f>
        <v>-50000</v>
      </c>
    </row>
    <row r="33" spans="1:5" x14ac:dyDescent="0.3">
      <c r="C33" s="2" t="s">
        <v>50</v>
      </c>
      <c r="E33" s="4">
        <f>SUMIFS(E34:E63,B34:B63,"s")</f>
        <v>-1940000</v>
      </c>
    </row>
    <row r="34" spans="1:5" collapsed="1" x14ac:dyDescent="0.3">
      <c r="B34" s="33" t="s">
        <v>190</v>
      </c>
      <c r="C34" s="1" t="s">
        <v>56</v>
      </c>
      <c r="D34" s="1"/>
      <c r="E34" s="3">
        <f>SUM(E35:E42)</f>
        <v>-294000</v>
      </c>
    </row>
    <row r="35" spans="1:5" hidden="1" outlineLevel="1" x14ac:dyDescent="0.3">
      <c r="C35" s="14" t="s">
        <v>57</v>
      </c>
      <c r="D35" s="15">
        <v>200000</v>
      </c>
      <c r="E35" s="15">
        <f t="shared" ref="E35:E43" si="0">-D35</f>
        <v>-200000</v>
      </c>
    </row>
    <row r="36" spans="1:5" hidden="1" outlineLevel="1" x14ac:dyDescent="0.3">
      <c r="C36" s="14" t="s">
        <v>58</v>
      </c>
      <c r="D36" s="15">
        <v>35000</v>
      </c>
      <c r="E36" s="15">
        <f t="shared" si="0"/>
        <v>-35000</v>
      </c>
    </row>
    <row r="37" spans="1:5" hidden="1" outlineLevel="1" x14ac:dyDescent="0.3">
      <c r="C37" s="14" t="s">
        <v>59</v>
      </c>
      <c r="D37" s="15">
        <v>26000</v>
      </c>
      <c r="E37" s="15">
        <f t="shared" si="0"/>
        <v>-26000</v>
      </c>
    </row>
    <row r="38" spans="1:5" hidden="1" outlineLevel="1" x14ac:dyDescent="0.3">
      <c r="C38" s="14" t="s">
        <v>60</v>
      </c>
      <c r="D38" s="15">
        <v>0</v>
      </c>
      <c r="E38" s="15">
        <f t="shared" si="0"/>
        <v>0</v>
      </c>
    </row>
    <row r="39" spans="1:5" hidden="1" outlineLevel="1" x14ac:dyDescent="0.3">
      <c r="C39" s="14" t="s">
        <v>61</v>
      </c>
      <c r="D39" s="15">
        <v>0</v>
      </c>
      <c r="E39" s="15">
        <f t="shared" si="0"/>
        <v>0</v>
      </c>
    </row>
    <row r="40" spans="1:5" hidden="1" outlineLevel="1" x14ac:dyDescent="0.3">
      <c r="C40" s="14" t="s">
        <v>62</v>
      </c>
      <c r="D40" s="15">
        <v>0</v>
      </c>
      <c r="E40" s="15">
        <f t="shared" si="0"/>
        <v>0</v>
      </c>
    </row>
    <row r="41" spans="1:5" hidden="1" outlineLevel="1" x14ac:dyDescent="0.3">
      <c r="C41" s="14" t="s">
        <v>63</v>
      </c>
      <c r="D41" s="15">
        <v>18000</v>
      </c>
      <c r="E41" s="15">
        <f t="shared" si="0"/>
        <v>-18000</v>
      </c>
    </row>
    <row r="42" spans="1:5" hidden="1" outlineLevel="1" x14ac:dyDescent="0.3">
      <c r="C42" s="14" t="s">
        <v>64</v>
      </c>
      <c r="D42" s="15">
        <v>15000</v>
      </c>
      <c r="E42" s="15">
        <f t="shared" si="0"/>
        <v>-15000</v>
      </c>
    </row>
    <row r="43" spans="1:5" x14ac:dyDescent="0.3">
      <c r="B43" s="33" t="s">
        <v>190</v>
      </c>
      <c r="C43" s="1" t="s">
        <v>65</v>
      </c>
      <c r="D43" s="3">
        <v>50000</v>
      </c>
      <c r="E43" s="3">
        <f t="shared" si="0"/>
        <v>-50000</v>
      </c>
    </row>
    <row r="44" spans="1:5" collapsed="1" x14ac:dyDescent="0.3">
      <c r="A44" s="33" t="s">
        <v>194</v>
      </c>
      <c r="B44" s="33" t="s">
        <v>190</v>
      </c>
      <c r="C44" s="1" t="s">
        <v>66</v>
      </c>
      <c r="D44" s="8"/>
      <c r="E44" s="3">
        <f>SUM(E45:E49)</f>
        <v>-500000</v>
      </c>
    </row>
    <row r="45" spans="1:5" hidden="1" outlineLevel="1" x14ac:dyDescent="0.3">
      <c r="C45" s="14" t="s">
        <v>67</v>
      </c>
      <c r="D45" s="15">
        <v>100000</v>
      </c>
      <c r="E45" s="15">
        <f t="shared" ref="E45:E50" si="1">-D45</f>
        <v>-100000</v>
      </c>
    </row>
    <row r="46" spans="1:5" hidden="1" outlineLevel="1" x14ac:dyDescent="0.3">
      <c r="C46" s="14" t="s">
        <v>68</v>
      </c>
      <c r="D46" s="15">
        <v>100000</v>
      </c>
      <c r="E46" s="15">
        <f t="shared" si="1"/>
        <v>-100000</v>
      </c>
    </row>
    <row r="47" spans="1:5" hidden="1" outlineLevel="1" x14ac:dyDescent="0.3">
      <c r="C47" s="14" t="s">
        <v>69</v>
      </c>
      <c r="D47" s="15">
        <v>100000</v>
      </c>
      <c r="E47" s="15">
        <f t="shared" si="1"/>
        <v>-100000</v>
      </c>
    </row>
    <row r="48" spans="1:5" hidden="1" outlineLevel="1" x14ac:dyDescent="0.3">
      <c r="C48" s="14" t="s">
        <v>70</v>
      </c>
      <c r="D48" s="15">
        <v>100000</v>
      </c>
      <c r="E48" s="15">
        <f t="shared" si="1"/>
        <v>-100000</v>
      </c>
    </row>
    <row r="49" spans="2:7" hidden="1" outlineLevel="1" x14ac:dyDescent="0.3">
      <c r="C49" s="14" t="s">
        <v>71</v>
      </c>
      <c r="D49" s="15">
        <v>100000</v>
      </c>
      <c r="E49" s="15">
        <f t="shared" si="1"/>
        <v>-100000</v>
      </c>
    </row>
    <row r="50" spans="2:7" x14ac:dyDescent="0.3">
      <c r="B50" s="33" t="s">
        <v>190</v>
      </c>
      <c r="C50" s="1" t="s">
        <v>72</v>
      </c>
      <c r="D50" s="3">
        <v>40000</v>
      </c>
      <c r="E50" s="3">
        <f t="shared" si="1"/>
        <v>-40000</v>
      </c>
    </row>
    <row r="51" spans="2:7" collapsed="1" x14ac:dyDescent="0.3">
      <c r="B51" s="33" t="s">
        <v>190</v>
      </c>
      <c r="C51" s="1" t="s">
        <v>73</v>
      </c>
      <c r="D51" s="3"/>
      <c r="E51" s="3">
        <f>SUM(E52:E55)</f>
        <v>-500000</v>
      </c>
    </row>
    <row r="52" spans="2:7" hidden="1" outlineLevel="1" x14ac:dyDescent="0.3">
      <c r="C52" s="14" t="s">
        <v>76</v>
      </c>
      <c r="D52" s="15">
        <v>300000</v>
      </c>
      <c r="E52" s="15">
        <f>-D52</f>
        <v>-300000</v>
      </c>
    </row>
    <row r="53" spans="2:7" hidden="1" outlineLevel="1" x14ac:dyDescent="0.3">
      <c r="C53" s="14" t="s">
        <v>77</v>
      </c>
      <c r="D53" s="15">
        <v>150000</v>
      </c>
      <c r="E53" s="15">
        <f>-D53</f>
        <v>-150000</v>
      </c>
    </row>
    <row r="54" spans="2:7" hidden="1" outlineLevel="1" x14ac:dyDescent="0.3">
      <c r="C54" s="14" t="s">
        <v>5</v>
      </c>
      <c r="D54" s="15">
        <v>50000</v>
      </c>
      <c r="E54" s="15">
        <f>-D54</f>
        <v>-50000</v>
      </c>
    </row>
    <row r="55" spans="2:7" hidden="1" outlineLevel="1" x14ac:dyDescent="0.3">
      <c r="C55" s="14" t="s">
        <v>78</v>
      </c>
      <c r="D55" s="15">
        <v>0</v>
      </c>
      <c r="E55" s="15">
        <f>-D55</f>
        <v>0</v>
      </c>
    </row>
    <row r="56" spans="2:7" collapsed="1" x14ac:dyDescent="0.3">
      <c r="B56" s="33" t="s">
        <v>190</v>
      </c>
      <c r="C56" s="1" t="s">
        <v>74</v>
      </c>
      <c r="D56" s="3"/>
      <c r="E56" s="3">
        <f>SUM(E57:E60)</f>
        <v>-175000</v>
      </c>
    </row>
    <row r="57" spans="2:7" hidden="1" outlineLevel="1" x14ac:dyDescent="0.3">
      <c r="C57" s="14" t="s">
        <v>79</v>
      </c>
      <c r="D57" s="15">
        <v>100000</v>
      </c>
      <c r="E57" s="15">
        <f>-D57</f>
        <v>-100000</v>
      </c>
    </row>
    <row r="58" spans="2:7" hidden="1" outlineLevel="1" x14ac:dyDescent="0.3">
      <c r="C58" s="14" t="s">
        <v>80</v>
      </c>
      <c r="D58" s="15">
        <v>45000</v>
      </c>
      <c r="E58" s="15">
        <f>-D58</f>
        <v>-45000</v>
      </c>
    </row>
    <row r="59" spans="2:7" hidden="1" outlineLevel="1" x14ac:dyDescent="0.3">
      <c r="C59" s="14" t="s">
        <v>81</v>
      </c>
      <c r="D59" s="15">
        <v>30000</v>
      </c>
      <c r="E59" s="15">
        <f>-D59</f>
        <v>-30000</v>
      </c>
    </row>
    <row r="60" spans="2:7" hidden="1" outlineLevel="1" x14ac:dyDescent="0.3">
      <c r="C60" s="14" t="s">
        <v>78</v>
      </c>
      <c r="D60" s="15">
        <v>0</v>
      </c>
      <c r="E60" s="15">
        <f>-D60</f>
        <v>0</v>
      </c>
    </row>
    <row r="61" spans="2:7" x14ac:dyDescent="0.3">
      <c r="B61" s="33" t="s">
        <v>190</v>
      </c>
      <c r="C61" s="1" t="s">
        <v>75</v>
      </c>
      <c r="D61" s="18" t="s">
        <v>82</v>
      </c>
      <c r="E61" s="3">
        <f>(E44+E27+E11)/2*10%+(E44+E27+E11)/2*50%</f>
        <v>-381000</v>
      </c>
    </row>
    <row r="62" spans="2:7" x14ac:dyDescent="0.3">
      <c r="B62" s="33" t="s">
        <v>190</v>
      </c>
      <c r="C62" s="1" t="s">
        <v>53</v>
      </c>
      <c r="D62" s="3">
        <v>0</v>
      </c>
      <c r="E62" s="3">
        <f>-D62</f>
        <v>0</v>
      </c>
      <c r="G62" t="s">
        <v>196</v>
      </c>
    </row>
    <row r="63" spans="2:7" x14ac:dyDescent="0.3">
      <c r="C63" s="1"/>
      <c r="D63" s="3"/>
      <c r="E63" s="3"/>
    </row>
    <row r="64" spans="2:7" x14ac:dyDescent="0.3">
      <c r="C64" s="19" t="s">
        <v>197</v>
      </c>
      <c r="D64" s="20"/>
      <c r="E64" s="21">
        <f>E7+E24</f>
        <v>3700000</v>
      </c>
    </row>
    <row r="65" spans="2:24" x14ac:dyDescent="0.3">
      <c r="C65" s="1" t="s">
        <v>198</v>
      </c>
      <c r="E65" s="7">
        <f>E64/E2</f>
        <v>0.46250000000000002</v>
      </c>
    </row>
    <row r="67" spans="2:24" collapsed="1" x14ac:dyDescent="0.3">
      <c r="B67" s="33" t="s">
        <v>190</v>
      </c>
      <c r="C67" s="1" t="s">
        <v>93</v>
      </c>
      <c r="E67" s="3">
        <f>SUM(E68:E74)</f>
        <v>-358333.33333333331</v>
      </c>
      <c r="F67" s="3">
        <f t="shared" ref="F67:N67" si="2">SUM(F68:F74)</f>
        <v>-358333.33333333331</v>
      </c>
      <c r="G67" s="3">
        <f t="shared" si="2"/>
        <v>-358333.33333333331</v>
      </c>
      <c r="H67" s="3">
        <f t="shared" si="2"/>
        <v>-358333.33333333331</v>
      </c>
      <c r="I67" s="3">
        <f t="shared" si="2"/>
        <v>-358333.33333333331</v>
      </c>
      <c r="J67" s="3">
        <f t="shared" si="2"/>
        <v>-358333.33333333331</v>
      </c>
      <c r="K67" s="3">
        <f t="shared" si="2"/>
        <v>-358333.33333333331</v>
      </c>
      <c r="L67" s="3">
        <f t="shared" si="2"/>
        <v>-358333.33333333331</v>
      </c>
      <c r="M67" s="3">
        <f t="shared" si="2"/>
        <v>-358333.33333333331</v>
      </c>
      <c r="N67" s="3">
        <f t="shared" si="2"/>
        <v>-358333.33333333331</v>
      </c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hidden="1" outlineLevel="1" x14ac:dyDescent="0.3">
      <c r="C68" s="14" t="s">
        <v>94</v>
      </c>
      <c r="D68" s="3">
        <f>1500000/60</f>
        <v>25000</v>
      </c>
      <c r="E68" s="3">
        <f>-$D68</f>
        <v>-25000</v>
      </c>
      <c r="F68" s="3">
        <f>-$D68</f>
        <v>-25000</v>
      </c>
      <c r="G68" s="3">
        <f>-$D68</f>
        <v>-25000</v>
      </c>
      <c r="H68" s="3">
        <f>-$D68</f>
        <v>-25000</v>
      </c>
      <c r="I68" s="3">
        <f>-$D68</f>
        <v>-25000</v>
      </c>
      <c r="J68" s="3">
        <f>-$D68</f>
        <v>-25000</v>
      </c>
      <c r="K68" s="3">
        <f>-$D68</f>
        <v>-25000</v>
      </c>
      <c r="L68" s="3">
        <f>-$D68</f>
        <v>-25000</v>
      </c>
      <c r="M68" s="3">
        <f>-$D68</f>
        <v>-25000</v>
      </c>
      <c r="N68" s="3">
        <f>-$D68</f>
        <v>-25000</v>
      </c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2:24" hidden="1" outlineLevel="1" x14ac:dyDescent="0.3">
      <c r="C69" s="14" t="s">
        <v>95</v>
      </c>
      <c r="D69" s="3">
        <f t="shared" ref="D69:D70" si="3">1500000/60</f>
        <v>25000</v>
      </c>
      <c r="E69" s="3">
        <f>-$D69</f>
        <v>-25000</v>
      </c>
      <c r="F69" s="3">
        <f>-$D69</f>
        <v>-25000</v>
      </c>
      <c r="G69" s="3">
        <f>-$D69</f>
        <v>-25000</v>
      </c>
      <c r="H69" s="3">
        <f>-$D69</f>
        <v>-25000</v>
      </c>
      <c r="I69" s="3">
        <f>-$D69</f>
        <v>-25000</v>
      </c>
      <c r="J69" s="3">
        <f>-$D69</f>
        <v>-25000</v>
      </c>
      <c r="K69" s="3">
        <f>-$D69</f>
        <v>-25000</v>
      </c>
      <c r="L69" s="3">
        <f>-$D69</f>
        <v>-25000</v>
      </c>
      <c r="M69" s="3">
        <f>-$D69</f>
        <v>-25000</v>
      </c>
      <c r="N69" s="3">
        <f>-$D69</f>
        <v>-25000</v>
      </c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2:24" hidden="1" outlineLevel="1" x14ac:dyDescent="0.3">
      <c r="C70" s="14" t="s">
        <v>96</v>
      </c>
      <c r="D70" s="3">
        <f t="shared" si="3"/>
        <v>25000</v>
      </c>
      <c r="E70" s="3">
        <f>-$D70</f>
        <v>-25000</v>
      </c>
      <c r="F70" s="3">
        <f>-$D70</f>
        <v>-25000</v>
      </c>
      <c r="G70" s="3">
        <f>-$D70</f>
        <v>-25000</v>
      </c>
      <c r="H70" s="3">
        <f>-$D70</f>
        <v>-25000</v>
      </c>
      <c r="I70" s="3">
        <f>-$D70</f>
        <v>-25000</v>
      </c>
      <c r="J70" s="3">
        <f>-$D70</f>
        <v>-25000</v>
      </c>
      <c r="K70" s="3">
        <f>-$D70</f>
        <v>-25000</v>
      </c>
      <c r="L70" s="3">
        <f>-$D70</f>
        <v>-25000</v>
      </c>
      <c r="M70" s="3">
        <f>-$D70</f>
        <v>-25000</v>
      </c>
      <c r="N70" s="3">
        <f>-$D70</f>
        <v>-25000</v>
      </c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2:24" hidden="1" outlineLevel="1" x14ac:dyDescent="0.3">
      <c r="C71" s="14" t="s">
        <v>97</v>
      </c>
      <c r="D71" s="3">
        <f>6000000/60</f>
        <v>100000</v>
      </c>
      <c r="E71" s="3">
        <f>-$D71</f>
        <v>-100000</v>
      </c>
      <c r="F71" s="3">
        <f>-$D71</f>
        <v>-100000</v>
      </c>
      <c r="G71" s="3">
        <f>-$D71</f>
        <v>-100000</v>
      </c>
      <c r="H71" s="3">
        <f>-$D71</f>
        <v>-100000</v>
      </c>
      <c r="I71" s="3">
        <f>-$D71</f>
        <v>-100000</v>
      </c>
      <c r="J71" s="3">
        <f>-$D71</f>
        <v>-100000</v>
      </c>
      <c r="K71" s="3">
        <f>-$D71</f>
        <v>-100000</v>
      </c>
      <c r="L71" s="3">
        <f>-$D71</f>
        <v>-100000</v>
      </c>
      <c r="M71" s="3">
        <f>-$D71</f>
        <v>-100000</v>
      </c>
      <c r="N71" s="3">
        <f>-$D71</f>
        <v>-100000</v>
      </c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2:24" hidden="1" outlineLevel="1" x14ac:dyDescent="0.3">
      <c r="C72" s="14" t="s">
        <v>98</v>
      </c>
      <c r="D72" s="3">
        <f>6000000/60</f>
        <v>100000</v>
      </c>
      <c r="E72" s="3">
        <f>-$D72</f>
        <v>-100000</v>
      </c>
      <c r="F72" s="3">
        <f>-$D72</f>
        <v>-100000</v>
      </c>
      <c r="G72" s="3">
        <f>-$D72</f>
        <v>-100000</v>
      </c>
      <c r="H72" s="3">
        <f>-$D72</f>
        <v>-100000</v>
      </c>
      <c r="I72" s="3">
        <f>-$D72</f>
        <v>-100000</v>
      </c>
      <c r="J72" s="3">
        <f>-$D72</f>
        <v>-100000</v>
      </c>
      <c r="K72" s="3">
        <f>-$D72</f>
        <v>-100000</v>
      </c>
      <c r="L72" s="3">
        <f>-$D72</f>
        <v>-100000</v>
      </c>
      <c r="M72" s="3">
        <f>-$D72</f>
        <v>-100000</v>
      </c>
      <c r="N72" s="3">
        <f>-$D72</f>
        <v>-100000</v>
      </c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2:24" hidden="1" outlineLevel="1" x14ac:dyDescent="0.3">
      <c r="C73" s="14" t="s">
        <v>99</v>
      </c>
      <c r="D73" s="3">
        <f>3000000/60</f>
        <v>50000</v>
      </c>
      <c r="E73" s="3">
        <f>-$D73</f>
        <v>-50000</v>
      </c>
      <c r="F73" s="3">
        <f>-$D73</f>
        <v>-50000</v>
      </c>
      <c r="G73" s="3">
        <f>-$D73</f>
        <v>-50000</v>
      </c>
      <c r="H73" s="3">
        <f>-$D73</f>
        <v>-50000</v>
      </c>
      <c r="I73" s="3">
        <f>-$D73</f>
        <v>-50000</v>
      </c>
      <c r="J73" s="3">
        <f>-$D73</f>
        <v>-50000</v>
      </c>
      <c r="K73" s="3">
        <f>-$D73</f>
        <v>-50000</v>
      </c>
      <c r="L73" s="3">
        <f>-$D73</f>
        <v>-50000</v>
      </c>
      <c r="M73" s="3">
        <f>-$D73</f>
        <v>-50000</v>
      </c>
      <c r="N73" s="3">
        <f>-$D73</f>
        <v>-50000</v>
      </c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2:24" hidden="1" outlineLevel="1" x14ac:dyDescent="0.3">
      <c r="C74" s="14" t="s">
        <v>100</v>
      </c>
      <c r="D74" s="3">
        <f>2000000/60</f>
        <v>33333.333333333336</v>
      </c>
      <c r="E74" s="3">
        <f>-$D74</f>
        <v>-33333.333333333336</v>
      </c>
      <c r="F74" s="3">
        <f>-$D74</f>
        <v>-33333.333333333336</v>
      </c>
      <c r="G74" s="3">
        <f>-$D74</f>
        <v>-33333.333333333336</v>
      </c>
      <c r="H74" s="3">
        <f>-$D74</f>
        <v>-33333.333333333336</v>
      </c>
      <c r="I74" s="3">
        <f>-$D74</f>
        <v>-33333.333333333336</v>
      </c>
      <c r="J74" s="3">
        <f>-$D74</f>
        <v>-33333.333333333336</v>
      </c>
      <c r="K74" s="3">
        <f>-$D74</f>
        <v>-33333.333333333336</v>
      </c>
      <c r="L74" s="3">
        <f>-$D74</f>
        <v>-33333.333333333336</v>
      </c>
      <c r="M74" s="3">
        <f>-$D74</f>
        <v>-33333.333333333336</v>
      </c>
      <c r="N74" s="3">
        <f>-$D74</f>
        <v>-33333.333333333336</v>
      </c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2:24" hidden="1" outlineLevel="1" x14ac:dyDescent="0.3">
      <c r="C75" s="1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2:24" x14ac:dyDescent="0.3">
      <c r="C76" s="1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2:24" x14ac:dyDescent="0.3">
      <c r="C77" s="19" t="s">
        <v>199</v>
      </c>
      <c r="D77" s="20"/>
      <c r="E77" s="21">
        <f>E20+E37</f>
        <v>4594000</v>
      </c>
    </row>
    <row r="78" spans="2:24" x14ac:dyDescent="0.3">
      <c r="C78" s="1" t="s">
        <v>198</v>
      </c>
      <c r="E78" s="7">
        <f>E77/E15</f>
        <v>-5.7424999999999997</v>
      </c>
    </row>
    <row r="79" spans="2:24" x14ac:dyDescent="0.3">
      <c r="C79" s="1"/>
      <c r="E79" s="7"/>
    </row>
    <row r="80" spans="2:24" x14ac:dyDescent="0.3">
      <c r="B80" s="33" t="s">
        <v>190</v>
      </c>
      <c r="C80" s="1" t="s">
        <v>91</v>
      </c>
      <c r="D80" s="3">
        <f>SUM(D81:D87)</f>
        <v>210000</v>
      </c>
      <c r="E80" s="3">
        <f>SUM(E81:E87)</f>
        <v>-210000</v>
      </c>
      <c r="F80" s="3">
        <f>SUM(F81:F87)</f>
        <v>-210000</v>
      </c>
      <c r="G80" s="3">
        <f>SUM(G81:G87)</f>
        <v>-210000</v>
      </c>
      <c r="H80" s="3">
        <f>SUM(H81:H87)</f>
        <v>-210000</v>
      </c>
      <c r="I80" s="3">
        <f>SUM(I81:I87)</f>
        <v>-210000</v>
      </c>
      <c r="J80" s="3">
        <f>SUM(J81:J87)</f>
        <v>-210000</v>
      </c>
      <c r="K80" s="3">
        <f>SUM(K81:K87)</f>
        <v>-210000</v>
      </c>
      <c r="L80" s="3">
        <f>SUM(L81:L87)</f>
        <v>-210000</v>
      </c>
      <c r="M80" s="3">
        <f>SUM(M81:M87)</f>
        <v>-210000</v>
      </c>
      <c r="N80" s="3">
        <f>SUM(N81:N87)</f>
        <v>-210000</v>
      </c>
    </row>
    <row r="81" spans="2:35" outlineLevel="1" x14ac:dyDescent="0.3">
      <c r="C81" s="14" t="s">
        <v>84</v>
      </c>
      <c r="D81" s="31">
        <v>30000</v>
      </c>
      <c r="E81" s="3">
        <f>-$D81</f>
        <v>-30000</v>
      </c>
      <c r="F81" s="3">
        <f>-$D81</f>
        <v>-30000</v>
      </c>
      <c r="G81" s="3">
        <f>-$D81</f>
        <v>-30000</v>
      </c>
      <c r="H81" s="3">
        <f>-$D81</f>
        <v>-30000</v>
      </c>
      <c r="I81" s="3">
        <f>-$D81</f>
        <v>-30000</v>
      </c>
      <c r="J81" s="3">
        <f>-$D81</f>
        <v>-30000</v>
      </c>
      <c r="K81" s="3">
        <f>-$D81</f>
        <v>-30000</v>
      </c>
      <c r="L81" s="3">
        <f>-$D81</f>
        <v>-30000</v>
      </c>
      <c r="M81" s="3">
        <f>-$D81</f>
        <v>-30000</v>
      </c>
      <c r="N81" s="3">
        <f>-$D81</f>
        <v>-30000</v>
      </c>
    </row>
    <row r="82" spans="2:35" outlineLevel="1" x14ac:dyDescent="0.3">
      <c r="C82" s="14" t="s">
        <v>85</v>
      </c>
      <c r="D82" s="31">
        <v>30000</v>
      </c>
      <c r="E82" s="3">
        <f>-$D82</f>
        <v>-30000</v>
      </c>
      <c r="F82" s="3">
        <f>-$D82</f>
        <v>-30000</v>
      </c>
      <c r="G82" s="3">
        <f>-$D82</f>
        <v>-30000</v>
      </c>
      <c r="H82" s="3">
        <f>-$D82</f>
        <v>-30000</v>
      </c>
      <c r="I82" s="3">
        <f>-$D82</f>
        <v>-30000</v>
      </c>
      <c r="J82" s="3">
        <f>-$D82</f>
        <v>-30000</v>
      </c>
      <c r="K82" s="3">
        <f>-$D82</f>
        <v>-30000</v>
      </c>
      <c r="L82" s="3">
        <f>-$D82</f>
        <v>-30000</v>
      </c>
      <c r="M82" s="3">
        <f>-$D82</f>
        <v>-30000</v>
      </c>
      <c r="N82" s="3">
        <f>-$D82</f>
        <v>-30000</v>
      </c>
    </row>
    <row r="83" spans="2:35" outlineLevel="1" x14ac:dyDescent="0.3">
      <c r="C83" s="14" t="s">
        <v>86</v>
      </c>
      <c r="D83" s="31">
        <v>30000</v>
      </c>
      <c r="E83" s="3">
        <f>-$D83</f>
        <v>-30000</v>
      </c>
      <c r="F83" s="3">
        <f>-$D83</f>
        <v>-30000</v>
      </c>
      <c r="G83" s="3">
        <f>-$D83</f>
        <v>-30000</v>
      </c>
      <c r="H83" s="3">
        <f>-$D83</f>
        <v>-30000</v>
      </c>
      <c r="I83" s="3">
        <f>-$D83</f>
        <v>-30000</v>
      </c>
      <c r="J83" s="3">
        <f>-$D83</f>
        <v>-30000</v>
      </c>
      <c r="K83" s="3">
        <f>-$D83</f>
        <v>-30000</v>
      </c>
      <c r="L83" s="3">
        <f>-$D83</f>
        <v>-30000</v>
      </c>
      <c r="M83" s="3">
        <f>-$D83</f>
        <v>-30000</v>
      </c>
      <c r="N83" s="3">
        <f>-$D83</f>
        <v>-30000</v>
      </c>
    </row>
    <row r="84" spans="2:35" outlineLevel="1" x14ac:dyDescent="0.3">
      <c r="C84" s="14" t="s">
        <v>87</v>
      </c>
      <c r="D84" s="31">
        <v>30000</v>
      </c>
      <c r="E84" s="3">
        <f>-$D84</f>
        <v>-30000</v>
      </c>
      <c r="F84" s="3">
        <f>-$D84</f>
        <v>-30000</v>
      </c>
      <c r="G84" s="3">
        <f>-$D84</f>
        <v>-30000</v>
      </c>
      <c r="H84" s="3">
        <f>-$D84</f>
        <v>-30000</v>
      </c>
      <c r="I84" s="3">
        <f>-$D84</f>
        <v>-30000</v>
      </c>
      <c r="J84" s="3">
        <f>-$D84</f>
        <v>-30000</v>
      </c>
      <c r="K84" s="3">
        <f>-$D84</f>
        <v>-30000</v>
      </c>
      <c r="L84" s="3">
        <f>-$D84</f>
        <v>-30000</v>
      </c>
      <c r="M84" s="3">
        <f>-$D84</f>
        <v>-30000</v>
      </c>
      <c r="N84" s="3">
        <f>-$D84</f>
        <v>-30000</v>
      </c>
    </row>
    <row r="85" spans="2:35" outlineLevel="1" x14ac:dyDescent="0.3">
      <c r="C85" s="14" t="s">
        <v>88</v>
      </c>
      <c r="D85" s="31">
        <v>30000</v>
      </c>
      <c r="E85" s="3">
        <f>-$D85</f>
        <v>-30000</v>
      </c>
      <c r="F85" s="3">
        <f>-$D85</f>
        <v>-30000</v>
      </c>
      <c r="G85" s="3">
        <f>-$D85</f>
        <v>-30000</v>
      </c>
      <c r="H85" s="3">
        <f>-$D85</f>
        <v>-30000</v>
      </c>
      <c r="I85" s="3">
        <f>-$D85</f>
        <v>-30000</v>
      </c>
      <c r="J85" s="3">
        <f>-$D85</f>
        <v>-30000</v>
      </c>
      <c r="K85" s="3">
        <f>-$D85</f>
        <v>-30000</v>
      </c>
      <c r="L85" s="3">
        <f>-$D85</f>
        <v>-30000</v>
      </c>
      <c r="M85" s="3">
        <f>-$D85</f>
        <v>-30000</v>
      </c>
      <c r="N85" s="3">
        <f>-$D85</f>
        <v>-30000</v>
      </c>
    </row>
    <row r="86" spans="2:35" outlineLevel="1" x14ac:dyDescent="0.3">
      <c r="C86" s="14" t="s">
        <v>89</v>
      </c>
      <c r="D86" s="31">
        <v>30000</v>
      </c>
      <c r="E86" s="3">
        <f>-$D86</f>
        <v>-30000</v>
      </c>
      <c r="F86" s="3">
        <f>-$D86</f>
        <v>-30000</v>
      </c>
      <c r="G86" s="3">
        <f>-$D86</f>
        <v>-30000</v>
      </c>
      <c r="H86" s="3">
        <f>-$D86</f>
        <v>-30000</v>
      </c>
      <c r="I86" s="3">
        <f>-$D86</f>
        <v>-30000</v>
      </c>
      <c r="J86" s="3">
        <f>-$D86</f>
        <v>-30000</v>
      </c>
      <c r="K86" s="3">
        <f>-$D86</f>
        <v>-30000</v>
      </c>
      <c r="L86" s="3">
        <f>-$D86</f>
        <v>-30000</v>
      </c>
      <c r="M86" s="3">
        <f>-$D86</f>
        <v>-30000</v>
      </c>
      <c r="N86" s="3">
        <f>-$D86</f>
        <v>-30000</v>
      </c>
    </row>
    <row r="87" spans="2:35" outlineLevel="1" x14ac:dyDescent="0.3">
      <c r="C87" s="14" t="s">
        <v>90</v>
      </c>
      <c r="D87" s="31">
        <v>30000</v>
      </c>
      <c r="E87" s="3">
        <f>-$D87</f>
        <v>-30000</v>
      </c>
      <c r="F87" s="3">
        <f>-$D87</f>
        <v>-30000</v>
      </c>
      <c r="G87" s="3">
        <f>-$D87</f>
        <v>-30000</v>
      </c>
      <c r="H87" s="3">
        <f>-$D87</f>
        <v>-30000</v>
      </c>
      <c r="I87" s="3">
        <f>-$D87</f>
        <v>-30000</v>
      </c>
      <c r="J87" s="3">
        <f>-$D87</f>
        <v>-30000</v>
      </c>
      <c r="K87" s="3">
        <f>-$D87</f>
        <v>-30000</v>
      </c>
      <c r="L87" s="3">
        <f>-$D87</f>
        <v>-30000</v>
      </c>
      <c r="M87" s="3">
        <f>-$D87</f>
        <v>-30000</v>
      </c>
      <c r="N87" s="3">
        <f>-$D87</f>
        <v>-30000</v>
      </c>
    </row>
    <row r="88" spans="2:35" x14ac:dyDescent="0.3">
      <c r="B88" s="33" t="s">
        <v>190</v>
      </c>
      <c r="C88" s="1" t="s">
        <v>92</v>
      </c>
      <c r="D88" s="3"/>
      <c r="E88" s="3">
        <f>SUM(E89:E96)</f>
        <v>-399374.31</v>
      </c>
      <c r="F88" s="3">
        <f>SUM(F89:F96)</f>
        <v>-421028.64</v>
      </c>
      <c r="G88" s="3">
        <f>SUM(G89:G96)</f>
        <v>392770.29</v>
      </c>
      <c r="H88" s="3">
        <f>SUM(H89:H96)</f>
        <v>387762.37</v>
      </c>
      <c r="I88" s="3">
        <f>SUM(I89:I96)</f>
        <v>361011.83</v>
      </c>
      <c r="J88" s="3">
        <f>SUM(J89:J96)</f>
        <v>354917.78</v>
      </c>
      <c r="K88" s="3">
        <f>SUM(K89:K96)</f>
        <v>338308.13000000006</v>
      </c>
      <c r="L88" s="3">
        <f>SUM(L89:L96)</f>
        <v>312611.90000000002</v>
      </c>
      <c r="M88" s="3">
        <f>SUM(M89:M96)</f>
        <v>304987.01</v>
      </c>
      <c r="N88" s="3">
        <f>SUM(N89:N96)</f>
        <v>280580.37</v>
      </c>
      <c r="O88" s="3">
        <f>SUM(O89:O96)</f>
        <v>271228.90999999997</v>
      </c>
      <c r="P88" s="3">
        <f>SUM(P89:P96)</f>
        <v>254249.52</v>
      </c>
      <c r="Q88" s="3">
        <f>SUM(Q89:Q96)</f>
        <v>218720.23</v>
      </c>
      <c r="R88" s="3">
        <f>SUM(R89:R96)</f>
        <v>220175.30000000002</v>
      </c>
      <c r="S88" s="3">
        <f>SUM(S89:S96)</f>
        <v>197665.81</v>
      </c>
      <c r="T88" s="3">
        <f>SUM(T89:T96)</f>
        <v>185781.82</v>
      </c>
      <c r="U88" s="3">
        <f>SUM(U89:U96)</f>
        <v>159133.78</v>
      </c>
      <c r="V88" s="3">
        <f>SUM(V89:V96)</f>
        <v>150000.65</v>
      </c>
      <c r="W88" s="3">
        <f>SUM(W89:W96)</f>
        <v>136911.81</v>
      </c>
      <c r="X88" s="3">
        <f>SUM(X89:X96)</f>
        <v>120508.31</v>
      </c>
      <c r="Y88" s="3">
        <f>SUM(Y89:Y96)</f>
        <v>109897.59</v>
      </c>
      <c r="Z88" s="3">
        <f>SUM(Z89:Z96)</f>
        <v>94188.78</v>
      </c>
      <c r="AA88" s="3">
        <f>SUM(AA89:AA96)</f>
        <v>70776.600000000006</v>
      </c>
      <c r="AB88" s="3">
        <f>SUM(AB89:AB96)</f>
        <v>61504.709999999992</v>
      </c>
      <c r="AC88" s="3">
        <f>SUM(AC89:AC96)</f>
        <v>50447.869999999995</v>
      </c>
      <c r="AD88" s="3">
        <f>SUM(AD89:AD96)</f>
        <v>34017.1</v>
      </c>
      <c r="AE88" s="3">
        <f>SUM(AE89:AE96)</f>
        <v>29316.97</v>
      </c>
      <c r="AF88" s="3">
        <f>SUM(AF89:AF96)</f>
        <v>25895.42</v>
      </c>
      <c r="AG88" s="3">
        <f>SUM(AG89:AG96)</f>
        <v>21532.18</v>
      </c>
      <c r="AH88" s="3">
        <f>SUM(AH89:AH96)</f>
        <v>17376.29</v>
      </c>
      <c r="AI88" s="3">
        <f>SUM(AI89:AI96)</f>
        <v>12662.55</v>
      </c>
    </row>
    <row r="89" spans="2:35" outlineLevel="1" x14ac:dyDescent="0.3">
      <c r="C89" s="14" t="s">
        <v>105</v>
      </c>
      <c r="E89" s="3">
        <v>-60442.64</v>
      </c>
      <c r="F89" s="3">
        <v>-62137.98</v>
      </c>
      <c r="G89" s="3">
        <v>57051.96</v>
      </c>
      <c r="H89" s="3">
        <v>54630.04</v>
      </c>
      <c r="I89" s="3">
        <v>49544.02</v>
      </c>
      <c r="J89" s="3">
        <v>47364.29</v>
      </c>
      <c r="K89" s="3">
        <v>43368.12</v>
      </c>
      <c r="L89" s="3">
        <v>38645.39</v>
      </c>
      <c r="M89" s="3">
        <v>35981.269999999997</v>
      </c>
      <c r="N89" s="3">
        <v>31379.63</v>
      </c>
      <c r="O89" s="3">
        <v>28352.23</v>
      </c>
      <c r="P89" s="3">
        <v>24598.26</v>
      </c>
      <c r="Q89" s="3">
        <v>19754.419999999998</v>
      </c>
      <c r="R89" s="3">
        <v>17090.32</v>
      </c>
      <c r="S89" s="3">
        <v>13336.34</v>
      </c>
      <c r="T89" s="3">
        <v>9703.48</v>
      </c>
      <c r="U89" s="3"/>
      <c r="V89" s="3"/>
      <c r="W89" s="3"/>
      <c r="X89" s="3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</row>
    <row r="90" spans="2:35" outlineLevel="1" x14ac:dyDescent="0.3">
      <c r="C90" s="14" t="s">
        <v>106</v>
      </c>
      <c r="E90" s="3">
        <v>-98966.720000000001</v>
      </c>
      <c r="F90" s="3">
        <v>-106287.02</v>
      </c>
      <c r="G90" s="3">
        <v>100997.28</v>
      </c>
      <c r="H90" s="3">
        <v>101825.05</v>
      </c>
      <c r="I90" s="3">
        <v>96498.17</v>
      </c>
      <c r="J90" s="3">
        <v>96987.92</v>
      </c>
      <c r="K90" s="3">
        <v>94552.55</v>
      </c>
      <c r="L90" s="3">
        <v>89356.82</v>
      </c>
      <c r="M90" s="3">
        <v>89599.07</v>
      </c>
      <c r="N90" s="3">
        <v>84279.03</v>
      </c>
      <c r="O90" s="3">
        <v>84055.33</v>
      </c>
      <c r="P90" s="3">
        <v>81384.95</v>
      </c>
      <c r="Q90" s="3">
        <v>71686.44</v>
      </c>
      <c r="R90" s="3">
        <v>75400.350000000006</v>
      </c>
      <c r="S90" s="3">
        <v>70550.080000000002</v>
      </c>
      <c r="T90" s="3">
        <v>69326.350000000006</v>
      </c>
      <c r="U90" s="3">
        <v>64332.73</v>
      </c>
      <c r="V90" s="3">
        <v>63154.3</v>
      </c>
      <c r="W90" s="3">
        <v>59661.34</v>
      </c>
      <c r="X90" s="3">
        <v>54745.14</v>
      </c>
      <c r="Y90" s="22">
        <v>52909.71</v>
      </c>
      <c r="Z90" s="23">
        <v>47938.54</v>
      </c>
      <c r="AA90" s="22">
        <v>45514.27</v>
      </c>
      <c r="AB90" s="23">
        <v>41776.449999999997</v>
      </c>
      <c r="AC90" s="22">
        <v>36059.06</v>
      </c>
      <c r="AD90" s="23">
        <v>34017.1</v>
      </c>
      <c r="AE90" s="22">
        <v>29316.97</v>
      </c>
      <c r="AF90" s="23">
        <v>25895.42</v>
      </c>
      <c r="AG90" s="22">
        <v>21532.18</v>
      </c>
      <c r="AH90" s="23">
        <v>17376.29</v>
      </c>
      <c r="AI90" s="22">
        <v>12662.55</v>
      </c>
    </row>
    <row r="91" spans="2:35" outlineLevel="1" x14ac:dyDescent="0.3">
      <c r="C91" s="14" t="s">
        <v>104</v>
      </c>
      <c r="E91" s="3">
        <v>-134500.38</v>
      </c>
      <c r="F91" s="3">
        <v>-141817.70000000001</v>
      </c>
      <c r="G91" s="3">
        <v>132001.78</v>
      </c>
      <c r="H91" s="3">
        <v>130395.54</v>
      </c>
      <c r="I91" s="3">
        <v>121471.99</v>
      </c>
      <c r="J91" s="3">
        <v>119330.33</v>
      </c>
      <c r="K91" s="3">
        <v>113797.72</v>
      </c>
      <c r="L91" s="3">
        <v>105231.1</v>
      </c>
      <c r="M91" s="3">
        <v>102732.5</v>
      </c>
      <c r="N91" s="3">
        <v>94879.77</v>
      </c>
      <c r="O91" s="3">
        <v>91667.29</v>
      </c>
      <c r="P91" s="3">
        <v>86134.68</v>
      </c>
      <c r="Q91" s="3">
        <v>74355.58</v>
      </c>
      <c r="R91" s="3">
        <v>75247.929999999993</v>
      </c>
      <c r="S91" s="3">
        <v>67752.14</v>
      </c>
      <c r="T91" s="3">
        <v>64004.25</v>
      </c>
      <c r="U91" s="3">
        <v>57043.87</v>
      </c>
      <c r="V91" s="3">
        <v>52939.03</v>
      </c>
      <c r="W91" s="3">
        <v>47763.37</v>
      </c>
      <c r="X91" s="3">
        <v>40981.46</v>
      </c>
      <c r="Y91" s="22">
        <v>36341.199999999997</v>
      </c>
      <c r="Z91" s="23">
        <v>30451.65</v>
      </c>
      <c r="AA91" s="22">
        <v>25262.33</v>
      </c>
      <c r="AB91" s="23">
        <v>19728.259999999998</v>
      </c>
      <c r="AC91" s="22">
        <v>14388.81</v>
      </c>
      <c r="AD91" s="18"/>
      <c r="AE91" s="18"/>
      <c r="AF91" s="18"/>
      <c r="AG91" s="18"/>
      <c r="AH91" s="18"/>
      <c r="AI91" s="18"/>
    </row>
    <row r="92" spans="2:35" outlineLevel="1" x14ac:dyDescent="0.3">
      <c r="C92" s="14" t="s">
        <v>107</v>
      </c>
      <c r="E92" s="3">
        <v>-99640.16</v>
      </c>
      <c r="F92" s="3">
        <v>-104630.72</v>
      </c>
      <c r="G92" s="3">
        <v>97501.35</v>
      </c>
      <c r="H92" s="3">
        <v>95790.3</v>
      </c>
      <c r="I92" s="3">
        <v>88803.51</v>
      </c>
      <c r="J92" s="3">
        <v>87092.46</v>
      </c>
      <c r="K92" s="3">
        <v>82529.66</v>
      </c>
      <c r="L92" s="3">
        <v>76255.81</v>
      </c>
      <c r="M92" s="3">
        <v>73689.23</v>
      </c>
      <c r="N92" s="3">
        <v>67415.38</v>
      </c>
      <c r="O92" s="3">
        <v>65133.99</v>
      </c>
      <c r="P92" s="3">
        <v>60428.59</v>
      </c>
      <c r="Q92" s="3">
        <v>51730.75</v>
      </c>
      <c r="R92" s="3">
        <v>51588.17</v>
      </c>
      <c r="S92" s="3">
        <v>46027.25</v>
      </c>
      <c r="T92" s="3">
        <v>42747.74</v>
      </c>
      <c r="U92" s="3">
        <v>37757.18</v>
      </c>
      <c r="V92" s="3">
        <v>33907.32</v>
      </c>
      <c r="W92" s="3">
        <v>29487.1</v>
      </c>
      <c r="X92" s="3">
        <v>24781.71</v>
      </c>
      <c r="Y92" s="22">
        <v>20646.68</v>
      </c>
      <c r="Z92" s="23">
        <v>15798.59</v>
      </c>
      <c r="AA92" s="18"/>
      <c r="AB92" s="18"/>
      <c r="AC92" s="18"/>
      <c r="AD92" s="18"/>
      <c r="AE92" s="18"/>
      <c r="AF92" s="18"/>
      <c r="AG92" s="18"/>
      <c r="AH92" s="18"/>
      <c r="AI92" s="18"/>
    </row>
    <row r="93" spans="2:35" outlineLevel="1" x14ac:dyDescent="0.3">
      <c r="C93" s="14" t="s">
        <v>108</v>
      </c>
      <c r="E93" s="3">
        <v>-5824.41</v>
      </c>
      <c r="F93" s="3">
        <v>-6155.22</v>
      </c>
      <c r="G93" s="3">
        <v>5217.92</v>
      </c>
      <c r="H93" s="3">
        <v>5121.4399999999996</v>
      </c>
      <c r="I93" s="3">
        <v>4694.1400000000003</v>
      </c>
      <c r="J93" s="3">
        <v>4142.78</v>
      </c>
      <c r="K93" s="3">
        <v>4060.08</v>
      </c>
      <c r="L93" s="3">
        <v>3122.78</v>
      </c>
      <c r="M93" s="3">
        <v>2984.94</v>
      </c>
      <c r="N93" s="3">
        <v>2626.56</v>
      </c>
      <c r="O93" s="3">
        <v>2020.07</v>
      </c>
      <c r="P93" s="3">
        <v>1703.04</v>
      </c>
      <c r="Q93" s="3">
        <v>1193.04</v>
      </c>
      <c r="R93" s="3">
        <v>848.53</v>
      </c>
      <c r="S93" s="3"/>
      <c r="T93" s="3"/>
      <c r="U93" s="3"/>
      <c r="V93" s="3"/>
      <c r="W93" s="3"/>
      <c r="X93" s="3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</row>
    <row r="94" spans="2:35" outlineLevel="1" x14ac:dyDescent="0.3">
      <c r="C94" s="14" t="s">
        <v>102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2:35" outlineLevel="1" x14ac:dyDescent="0.3">
      <c r="C95" s="14" t="s">
        <v>103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2:35" outlineLevel="1" x14ac:dyDescent="0.3">
      <c r="C96" s="14" t="s">
        <v>101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2:24" x14ac:dyDescent="0.3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2:24" x14ac:dyDescent="0.3">
      <c r="C98" s="19" t="s">
        <v>200</v>
      </c>
      <c r="D98" s="20"/>
      <c r="E98" s="21">
        <f>E41+E58</f>
        <v>-63000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2:24" x14ac:dyDescent="0.3">
      <c r="C99" s="1" t="s">
        <v>198</v>
      </c>
      <c r="E99" s="7">
        <f>E98/E36</f>
        <v>1.8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2:24" x14ac:dyDescent="0.3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2:24" x14ac:dyDescent="0.3">
      <c r="C101" s="2" t="s">
        <v>109</v>
      </c>
      <c r="E101" s="4">
        <f>SUMIFS(E102:E104,B102:B104,"s")</f>
        <v>-245000</v>
      </c>
    </row>
    <row r="102" spans="2:24" x14ac:dyDescent="0.3">
      <c r="B102" s="33" t="s">
        <v>190</v>
      </c>
      <c r="C102" s="1" t="s">
        <v>191</v>
      </c>
      <c r="D102" s="31">
        <v>45000</v>
      </c>
      <c r="E102" s="3">
        <f>-$D102</f>
        <v>-45000</v>
      </c>
      <c r="F102" s="3">
        <f t="shared" ref="F102:N103" si="4">-$D102</f>
        <v>-45000</v>
      </c>
      <c r="G102" s="3">
        <f t="shared" si="4"/>
        <v>-45000</v>
      </c>
      <c r="H102" s="3">
        <f t="shared" si="4"/>
        <v>-45000</v>
      </c>
      <c r="I102" s="3">
        <f t="shared" si="4"/>
        <v>-45000</v>
      </c>
      <c r="J102" s="3">
        <f t="shared" si="4"/>
        <v>-45000</v>
      </c>
      <c r="K102" s="3">
        <f t="shared" si="4"/>
        <v>-45000</v>
      </c>
      <c r="L102" s="3">
        <f t="shared" si="4"/>
        <v>-45000</v>
      </c>
      <c r="M102" s="3">
        <f t="shared" si="4"/>
        <v>-45000</v>
      </c>
      <c r="N102" s="3">
        <f t="shared" si="4"/>
        <v>-45000</v>
      </c>
    </row>
    <row r="103" spans="2:24" x14ac:dyDescent="0.3">
      <c r="B103" s="33" t="s">
        <v>190</v>
      </c>
      <c r="C103" s="1" t="s">
        <v>192</v>
      </c>
      <c r="D103" s="31">
        <v>0</v>
      </c>
      <c r="E103" s="3">
        <f>-$D103</f>
        <v>0</v>
      </c>
      <c r="F103" s="3">
        <f t="shared" si="4"/>
        <v>0</v>
      </c>
      <c r="G103" s="3">
        <f t="shared" si="4"/>
        <v>0</v>
      </c>
      <c r="H103" s="3">
        <f t="shared" si="4"/>
        <v>0</v>
      </c>
      <c r="I103" s="3">
        <f t="shared" si="4"/>
        <v>0</v>
      </c>
      <c r="J103" s="3">
        <f t="shared" si="4"/>
        <v>0</v>
      </c>
      <c r="K103" s="3">
        <f t="shared" si="4"/>
        <v>0</v>
      </c>
      <c r="L103" s="3">
        <f t="shared" si="4"/>
        <v>0</v>
      </c>
      <c r="M103" s="3">
        <f t="shared" si="4"/>
        <v>0</v>
      </c>
      <c r="N103" s="3">
        <f t="shared" si="4"/>
        <v>0</v>
      </c>
    </row>
    <row r="104" spans="2:24" x14ac:dyDescent="0.3">
      <c r="B104" s="33" t="s">
        <v>190</v>
      </c>
      <c r="C104" s="1" t="s">
        <v>83</v>
      </c>
      <c r="D104" s="31">
        <v>200000</v>
      </c>
      <c r="E104" s="3">
        <f>-$D104</f>
        <v>-200000</v>
      </c>
      <c r="F104" s="3">
        <f>-$D104</f>
        <v>-200000</v>
      </c>
      <c r="G104" s="3">
        <f>-$D104</f>
        <v>-200000</v>
      </c>
      <c r="H104" s="3">
        <f>-$D104</f>
        <v>-200000</v>
      </c>
      <c r="I104" s="3">
        <f>-$D104</f>
        <v>-200000</v>
      </c>
      <c r="J104" s="3">
        <f>-$D104</f>
        <v>-200000</v>
      </c>
      <c r="K104" s="3">
        <f>-$D104</f>
        <v>-200000</v>
      </c>
      <c r="L104" s="3">
        <f>-$D104</f>
        <v>-200000</v>
      </c>
      <c r="M104" s="3">
        <f>-$D104</f>
        <v>-200000</v>
      </c>
      <c r="N104" s="3">
        <f>-$D104</f>
        <v>-200000</v>
      </c>
    </row>
    <row r="105" spans="2:24" x14ac:dyDescent="0.3">
      <c r="C105" s="19" t="s">
        <v>110</v>
      </c>
      <c r="D105" s="20"/>
      <c r="E105" s="21">
        <f>E64+E101</f>
        <v>3455000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2:24" x14ac:dyDescent="0.3">
      <c r="C106" s="1" t="s">
        <v>111</v>
      </c>
      <c r="E106" s="7">
        <f>E105/E2</f>
        <v>0.43187500000000001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2:24" x14ac:dyDescent="0.3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2:24" x14ac:dyDescent="0.3">
      <c r="C108" t="s">
        <v>112</v>
      </c>
      <c r="E108" s="3">
        <f>E105+D108</f>
        <v>3455000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2:24" x14ac:dyDescent="0.3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2:24" x14ac:dyDescent="0.3">
      <c r="C110" s="2" t="s">
        <v>113</v>
      </c>
      <c r="E110" s="4">
        <f>SUMIFS(E$111:E$190,$B$111:$B$190,"s")</f>
        <v>-1343639.89</v>
      </c>
      <c r="F110" s="4">
        <f>SUMIFS(F$111:F$190,$B$111:$B$190,"s")</f>
        <v>-1345547.5499999998</v>
      </c>
      <c r="G110" s="4">
        <f>SUMIFS(G$111:G$190,$B$111:$B$190,"s")</f>
        <v>-2190805.5533333332</v>
      </c>
      <c r="H110" s="4">
        <f t="shared" ref="H110:N110" si="5">SUMIFS(H$111:H$190,$B$111:$B$190,"s")</f>
        <v>-2183485.2533333334</v>
      </c>
      <c r="I110" s="4">
        <f t="shared" si="5"/>
        <v>-2188774.9933333332</v>
      </c>
      <c r="J110" s="4">
        <f t="shared" si="5"/>
        <v>-2187947.2233333332</v>
      </c>
      <c r="K110" s="4">
        <f t="shared" si="5"/>
        <v>-2193274.1033333335</v>
      </c>
      <c r="L110" s="4">
        <f t="shared" si="5"/>
        <v>-2192784.3533333335</v>
      </c>
      <c r="M110" s="4">
        <f t="shared" si="5"/>
        <v>-2195219.7233333332</v>
      </c>
      <c r="N110" s="4">
        <f t="shared" si="5"/>
        <v>-2200415.4533333331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2:24" x14ac:dyDescent="0.3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2:24" x14ac:dyDescent="0.3">
      <c r="C112" s="1" t="s">
        <v>125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37" x14ac:dyDescent="0.3">
      <c r="C113" s="25" t="s">
        <v>114</v>
      </c>
      <c r="E113" s="3">
        <f t="shared" ref="E113:G115" si="6">SUMIFS(E$117:E$148,$C$117:$C$148,$C113)</f>
        <v>21277504.460000005</v>
      </c>
      <c r="F113" s="3">
        <f t="shared" si="6"/>
        <v>20380723.57</v>
      </c>
      <c r="G113" s="3">
        <f t="shared" si="6"/>
        <v>29482035.019999996</v>
      </c>
      <c r="H113" s="3">
        <f t="shared" ref="H113:N115" si="7">SUMIFS(H$117:H$148,$C$117:$C$148,$C113)</f>
        <v>27738088.466666669</v>
      </c>
      <c r="I113" s="3">
        <f t="shared" si="7"/>
        <v>26001462.213333331</v>
      </c>
      <c r="J113" s="3">
        <f t="shared" si="7"/>
        <v>24259546.220000003</v>
      </c>
      <c r="K113" s="3">
        <f t="shared" si="7"/>
        <v>22518457.99666667</v>
      </c>
      <c r="L113" s="3">
        <f t="shared" si="7"/>
        <v>20772042.893333338</v>
      </c>
      <c r="M113" s="3">
        <f t="shared" si="7"/>
        <v>19026117.540000007</v>
      </c>
      <c r="N113" s="3">
        <f t="shared" si="7"/>
        <v>17277756.81666667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37" x14ac:dyDescent="0.3">
      <c r="B114" s="33" t="s">
        <v>190</v>
      </c>
      <c r="C114" s="25" t="s">
        <v>115</v>
      </c>
      <c r="E114" s="3">
        <f t="shared" si="6"/>
        <v>-896780.8899999999</v>
      </c>
      <c r="F114" s="3">
        <f t="shared" si="6"/>
        <v>-898688.54999999993</v>
      </c>
      <c r="G114" s="3">
        <f t="shared" si="6"/>
        <v>-1743946.5533333332</v>
      </c>
      <c r="H114" s="3">
        <f t="shared" si="7"/>
        <v>-1736626.2533333334</v>
      </c>
      <c r="I114" s="3">
        <f t="shared" si="7"/>
        <v>-1741915.9933333332</v>
      </c>
      <c r="J114" s="3">
        <f t="shared" si="7"/>
        <v>-1741088.2233333332</v>
      </c>
      <c r="K114" s="3">
        <f t="shared" si="7"/>
        <v>-1746415.1033333333</v>
      </c>
      <c r="L114" s="3">
        <f t="shared" si="7"/>
        <v>-1745925.3533333333</v>
      </c>
      <c r="M114" s="3">
        <f t="shared" si="7"/>
        <v>-1748360.7233333332</v>
      </c>
      <c r="N114" s="3">
        <f t="shared" si="7"/>
        <v>-1753556.4533333334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37" x14ac:dyDescent="0.3">
      <c r="C115" s="25" t="s">
        <v>116</v>
      </c>
      <c r="E115" s="3">
        <f t="shared" si="6"/>
        <v>20380723.57</v>
      </c>
      <c r="F115" s="3">
        <f t="shared" si="6"/>
        <v>19482035.019999996</v>
      </c>
      <c r="G115" s="3">
        <f t="shared" si="6"/>
        <v>27738088.466666669</v>
      </c>
      <c r="H115" s="3">
        <f t="shared" si="7"/>
        <v>26001462.213333331</v>
      </c>
      <c r="I115" s="3">
        <f t="shared" si="7"/>
        <v>24259546.220000003</v>
      </c>
      <c r="J115" s="3">
        <f t="shared" si="7"/>
        <v>22518457.99666667</v>
      </c>
      <c r="K115" s="3">
        <f t="shared" si="7"/>
        <v>20772042.893333338</v>
      </c>
      <c r="L115" s="3">
        <f t="shared" si="7"/>
        <v>19026117.540000007</v>
      </c>
      <c r="M115" s="3">
        <f t="shared" si="7"/>
        <v>17277756.81666667</v>
      </c>
      <c r="N115" s="3">
        <f t="shared" si="7"/>
        <v>15524200.363333337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37" collapsed="1" x14ac:dyDescent="0.3">
      <c r="C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37" hidden="1" outlineLevel="1" x14ac:dyDescent="0.3">
      <c r="C117" s="1" t="s">
        <v>117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37" s="26" customFormat="1" hidden="1" outlineLevel="2" x14ac:dyDescent="0.3">
      <c r="A118" s="33"/>
      <c r="B118" s="33"/>
      <c r="C118" s="25" t="s">
        <v>114</v>
      </c>
      <c r="E118" s="29">
        <v>3900000</v>
      </c>
      <c r="F118" s="29">
        <f t="shared" ref="F118:S118" si="8">E120</f>
        <v>3640000</v>
      </c>
      <c r="G118" s="29">
        <f t="shared" si="8"/>
        <v>3380000</v>
      </c>
      <c r="H118" s="29">
        <f t="shared" si="8"/>
        <v>3120000</v>
      </c>
      <c r="I118" s="29">
        <f t="shared" si="8"/>
        <v>2860000</v>
      </c>
      <c r="J118" s="29">
        <f t="shared" si="8"/>
        <v>2600000</v>
      </c>
      <c r="K118" s="29">
        <f t="shared" si="8"/>
        <v>2340000</v>
      </c>
      <c r="L118" s="29">
        <f t="shared" si="8"/>
        <v>2080000</v>
      </c>
      <c r="M118" s="29">
        <f t="shared" si="8"/>
        <v>1820000</v>
      </c>
      <c r="N118" s="29">
        <f t="shared" si="8"/>
        <v>1560000</v>
      </c>
      <c r="O118" s="29">
        <f t="shared" si="8"/>
        <v>1300000</v>
      </c>
      <c r="P118" s="29">
        <f t="shared" si="8"/>
        <v>1040000</v>
      </c>
      <c r="Q118" s="29">
        <f t="shared" si="8"/>
        <v>780000</v>
      </c>
      <c r="R118" s="29">
        <f t="shared" si="8"/>
        <v>520000</v>
      </c>
      <c r="S118" s="29">
        <f t="shared" si="8"/>
        <v>260000</v>
      </c>
      <c r="T118" s="29"/>
      <c r="U118" s="29"/>
      <c r="V118" s="29"/>
      <c r="W118" s="29"/>
      <c r="X118" s="29"/>
    </row>
    <row r="119" spans="1:37" s="26" customFormat="1" hidden="1" outlineLevel="2" x14ac:dyDescent="0.3">
      <c r="A119" s="33"/>
      <c r="B119" s="33"/>
      <c r="C119" s="25" t="s">
        <v>115</v>
      </c>
      <c r="E119" s="29">
        <v>-260000</v>
      </c>
      <c r="F119" s="29">
        <v>-260000</v>
      </c>
      <c r="G119" s="29">
        <v>-260000</v>
      </c>
      <c r="H119" s="29">
        <v>-260000</v>
      </c>
      <c r="I119" s="29">
        <v>-260000</v>
      </c>
      <c r="J119" s="29">
        <v>-260000</v>
      </c>
      <c r="K119" s="29">
        <v>-260000</v>
      </c>
      <c r="L119" s="29">
        <v>-260000</v>
      </c>
      <c r="M119" s="29">
        <v>-260000</v>
      </c>
      <c r="N119" s="29">
        <v>-260000</v>
      </c>
      <c r="O119" s="29">
        <v>-260000</v>
      </c>
      <c r="P119" s="29">
        <v>-260000</v>
      </c>
      <c r="Q119" s="29">
        <v>-260000</v>
      </c>
      <c r="R119" s="29">
        <v>-260000</v>
      </c>
      <c r="S119" s="29">
        <v>-260000</v>
      </c>
      <c r="T119" s="29"/>
      <c r="U119" s="29"/>
      <c r="V119" s="29"/>
      <c r="W119" s="29"/>
      <c r="X119" s="29"/>
    </row>
    <row r="120" spans="1:37" s="26" customFormat="1" hidden="1" outlineLevel="2" x14ac:dyDescent="0.3">
      <c r="A120" s="33"/>
      <c r="B120" s="33"/>
      <c r="C120" s="25" t="s">
        <v>116</v>
      </c>
      <c r="E120" s="29">
        <f t="shared" ref="E120" si="9">E118+E119</f>
        <v>3640000</v>
      </c>
      <c r="F120" s="29">
        <f t="shared" ref="F120" si="10">F118+F119</f>
        <v>3380000</v>
      </c>
      <c r="G120" s="29">
        <f t="shared" ref="G120" si="11">G118+G119</f>
        <v>3120000</v>
      </c>
      <c r="H120" s="29">
        <f t="shared" ref="H120" si="12">H118+H119</f>
        <v>2860000</v>
      </c>
      <c r="I120" s="29">
        <f t="shared" ref="I120" si="13">I118+I119</f>
        <v>2600000</v>
      </c>
      <c r="J120" s="29">
        <f t="shared" ref="J120" si="14">J118+J119</f>
        <v>2340000</v>
      </c>
      <c r="K120" s="29">
        <f t="shared" ref="K120" si="15">K118+K119</f>
        <v>2080000</v>
      </c>
      <c r="L120" s="29">
        <f t="shared" ref="L120" si="16">L118+L119</f>
        <v>1820000</v>
      </c>
      <c r="M120" s="29">
        <f t="shared" ref="M120" si="17">M118+M119</f>
        <v>1560000</v>
      </c>
      <c r="N120" s="29">
        <f t="shared" ref="N120" si="18">N118+N119</f>
        <v>1300000</v>
      </c>
      <c r="O120" s="29">
        <f t="shared" ref="O120" si="19">O118+O119</f>
        <v>1040000</v>
      </c>
      <c r="P120" s="29">
        <f t="shared" ref="P120" si="20">P118+P119</f>
        <v>780000</v>
      </c>
      <c r="Q120" s="29">
        <f t="shared" ref="Q120" si="21">Q118+Q119</f>
        <v>520000</v>
      </c>
      <c r="R120" s="29">
        <f t="shared" ref="R120" si="22">R118+R119</f>
        <v>260000</v>
      </c>
      <c r="S120" s="29">
        <f t="shared" ref="S120" si="23">S118+S119</f>
        <v>0</v>
      </c>
      <c r="T120" s="29"/>
      <c r="U120" s="29"/>
      <c r="V120" s="29"/>
      <c r="W120" s="29"/>
      <c r="X120" s="29"/>
    </row>
    <row r="121" spans="1:37" hidden="1" outlineLevel="1" x14ac:dyDescent="0.3">
      <c r="C121" s="1" t="s">
        <v>118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37" s="26" customFormat="1" hidden="1" outlineLevel="2" x14ac:dyDescent="0.3">
      <c r="A122" s="33"/>
      <c r="B122" s="33"/>
      <c r="C122" s="25" t="s">
        <v>114</v>
      </c>
      <c r="E122" s="29">
        <v>4167765.88</v>
      </c>
      <c r="F122" s="29">
        <f t="shared" ref="F122:AK122" si="24">E124</f>
        <v>4086375.4</v>
      </c>
      <c r="G122" s="29">
        <f t="shared" si="24"/>
        <v>4003077.26</v>
      </c>
      <c r="H122" s="29">
        <f t="shared" si="24"/>
        <v>3907854.4499999997</v>
      </c>
      <c r="I122" s="29">
        <f t="shared" si="24"/>
        <v>3819951.94</v>
      </c>
      <c r="J122" s="29">
        <f t="shared" si="24"/>
        <v>3726759.69</v>
      </c>
      <c r="K122" s="29">
        <f t="shared" si="24"/>
        <v>3634395.21</v>
      </c>
      <c r="L122" s="29">
        <f t="shared" si="24"/>
        <v>3536703.85</v>
      </c>
      <c r="M122" s="29">
        <f t="shared" si="24"/>
        <v>3439502.24</v>
      </c>
      <c r="N122" s="29">
        <f t="shared" si="24"/>
        <v>3339865.2600000002</v>
      </c>
      <c r="O122" s="29">
        <f t="shared" si="24"/>
        <v>3235032.5500000003</v>
      </c>
      <c r="P122" s="29">
        <f t="shared" si="24"/>
        <v>3130442.0900000003</v>
      </c>
      <c r="Q122" s="29">
        <f t="shared" si="24"/>
        <v>3020531.5900000003</v>
      </c>
      <c r="R122" s="29">
        <f t="shared" si="24"/>
        <v>2910397.39</v>
      </c>
      <c r="S122" s="29">
        <f t="shared" si="24"/>
        <v>2797592.81</v>
      </c>
      <c r="T122" s="29">
        <f t="shared" si="24"/>
        <v>2675089.7200000002</v>
      </c>
      <c r="U122" s="29">
        <f t="shared" si="24"/>
        <v>2556300.54</v>
      </c>
      <c r="V122" s="29">
        <f t="shared" si="24"/>
        <v>2432661.09</v>
      </c>
      <c r="W122" s="29">
        <f t="shared" si="24"/>
        <v>2307797.9099999997</v>
      </c>
      <c r="X122" s="29">
        <f t="shared" si="24"/>
        <v>2177941.11</v>
      </c>
      <c r="Y122" s="26">
        <f t="shared" si="24"/>
        <v>2046905.88</v>
      </c>
      <c r="Z122" s="26">
        <f t="shared" si="24"/>
        <v>1912377.69</v>
      </c>
      <c r="AA122" s="26">
        <f t="shared" si="24"/>
        <v>1772933.2999999998</v>
      </c>
      <c r="AB122" s="26">
        <f t="shared" si="24"/>
        <v>1631653.4799999997</v>
      </c>
      <c r="AC122" s="26">
        <f t="shared" si="24"/>
        <v>1485402.4899999998</v>
      </c>
      <c r="AD122" s="26">
        <f t="shared" si="24"/>
        <v>1336727.2299999997</v>
      </c>
      <c r="AE122" s="26">
        <f t="shared" si="24"/>
        <v>1184314.1499999997</v>
      </c>
      <c r="AF122" s="26">
        <f t="shared" si="24"/>
        <v>1026183.6799999997</v>
      </c>
      <c r="AG122" s="26">
        <f t="shared" si="24"/>
        <v>866011.24999999977</v>
      </c>
      <c r="AH122" s="26">
        <f t="shared" si="24"/>
        <v>701138.68999999971</v>
      </c>
      <c r="AI122" s="26">
        <f t="shared" si="24"/>
        <v>532844.57999999973</v>
      </c>
      <c r="AJ122" s="26">
        <f t="shared" si="24"/>
        <v>360187.22999999975</v>
      </c>
      <c r="AK122" s="26">
        <f t="shared" si="24"/>
        <v>183373.98999999976</v>
      </c>
    </row>
    <row r="123" spans="1:37" s="26" customFormat="1" hidden="1" outlineLevel="2" x14ac:dyDescent="0.3">
      <c r="A123" s="33"/>
      <c r="B123" s="33"/>
      <c r="C123" s="25" t="s">
        <v>115</v>
      </c>
      <c r="E123" s="29">
        <v>-81390.48</v>
      </c>
      <c r="F123" s="29">
        <v>-83298.14</v>
      </c>
      <c r="G123" s="29">
        <v>-95222.81</v>
      </c>
      <c r="H123" s="29">
        <v>-87902.51</v>
      </c>
      <c r="I123" s="29">
        <v>-93192.25</v>
      </c>
      <c r="J123" s="29">
        <v>-92364.479999999996</v>
      </c>
      <c r="K123" s="29">
        <v>-97691.36</v>
      </c>
      <c r="L123" s="29">
        <v>-97201.61</v>
      </c>
      <c r="M123" s="29">
        <v>-99636.98</v>
      </c>
      <c r="N123" s="29">
        <v>-104832.71</v>
      </c>
      <c r="O123" s="29">
        <v>-104590.46</v>
      </c>
      <c r="P123" s="29">
        <v>-109910.5</v>
      </c>
      <c r="Q123" s="29">
        <v>-110134.2</v>
      </c>
      <c r="R123" s="29">
        <v>-112804.58</v>
      </c>
      <c r="S123" s="29">
        <v>-122503.09</v>
      </c>
      <c r="T123" s="29">
        <v>-118789.18</v>
      </c>
      <c r="U123" s="29">
        <v>-123639.45</v>
      </c>
      <c r="V123" s="29">
        <v>-124863.18</v>
      </c>
      <c r="W123" s="29">
        <v>-129856.8</v>
      </c>
      <c r="X123" s="29">
        <v>-131035.23</v>
      </c>
      <c r="Y123" s="26">
        <v>-134528.19</v>
      </c>
      <c r="Z123" s="26">
        <v>-139444.39000000001</v>
      </c>
      <c r="AA123" s="26">
        <v>-141279.82</v>
      </c>
      <c r="AB123" s="26">
        <v>-146250.99</v>
      </c>
      <c r="AC123" s="26">
        <v>-148675.26</v>
      </c>
      <c r="AD123" s="26">
        <v>-152413.07999999999</v>
      </c>
      <c r="AE123" s="26">
        <v>-158130.47</v>
      </c>
      <c r="AF123" s="26">
        <v>-160172.43</v>
      </c>
      <c r="AG123" s="26">
        <v>-164872.56</v>
      </c>
      <c r="AH123" s="26">
        <v>-168294.11</v>
      </c>
      <c r="AI123" s="26">
        <v>-172657.35</v>
      </c>
      <c r="AJ123" s="26">
        <v>-176813.24</v>
      </c>
      <c r="AK123" s="26">
        <v>-183373.99</v>
      </c>
    </row>
    <row r="124" spans="1:37" s="26" customFormat="1" hidden="1" outlineLevel="2" x14ac:dyDescent="0.3">
      <c r="A124" s="33"/>
      <c r="B124" s="33"/>
      <c r="C124" s="25" t="s">
        <v>116</v>
      </c>
      <c r="E124" s="29">
        <f t="shared" ref="E124" si="25">E122+E123</f>
        <v>4086375.4</v>
      </c>
      <c r="F124" s="29">
        <f t="shared" ref="F124" si="26">F122+F123</f>
        <v>4003077.26</v>
      </c>
      <c r="G124" s="29">
        <f t="shared" ref="G124" si="27">G122+G123</f>
        <v>3907854.4499999997</v>
      </c>
      <c r="H124" s="29">
        <f t="shared" ref="H124" si="28">H122+H123</f>
        <v>3819951.94</v>
      </c>
      <c r="I124" s="29">
        <f t="shared" ref="I124" si="29">I122+I123</f>
        <v>3726759.69</v>
      </c>
      <c r="J124" s="29">
        <f t="shared" ref="J124" si="30">J122+J123</f>
        <v>3634395.21</v>
      </c>
      <c r="K124" s="29">
        <f t="shared" ref="K124" si="31">K122+K123</f>
        <v>3536703.85</v>
      </c>
      <c r="L124" s="29">
        <f t="shared" ref="L124" si="32">L122+L123</f>
        <v>3439502.24</v>
      </c>
      <c r="M124" s="29">
        <f t="shared" ref="M124" si="33">M122+M123</f>
        <v>3339865.2600000002</v>
      </c>
      <c r="N124" s="29">
        <f t="shared" ref="N124" si="34">N122+N123</f>
        <v>3235032.5500000003</v>
      </c>
      <c r="O124" s="29">
        <f t="shared" ref="O124" si="35">O122+O123</f>
        <v>3130442.0900000003</v>
      </c>
      <c r="P124" s="29">
        <f t="shared" ref="P124" si="36">P122+P123</f>
        <v>3020531.5900000003</v>
      </c>
      <c r="Q124" s="29">
        <f t="shared" ref="Q124" si="37">Q122+Q123</f>
        <v>2910397.39</v>
      </c>
      <c r="R124" s="29">
        <f t="shared" ref="R124" si="38">R122+R123</f>
        <v>2797592.81</v>
      </c>
      <c r="S124" s="29">
        <f t="shared" ref="S124" si="39">S122+S123</f>
        <v>2675089.7200000002</v>
      </c>
      <c r="T124" s="29">
        <f t="shared" ref="T124" si="40">T122+T123</f>
        <v>2556300.54</v>
      </c>
      <c r="U124" s="29">
        <f t="shared" ref="U124" si="41">U122+U123</f>
        <v>2432661.09</v>
      </c>
      <c r="V124" s="29">
        <f t="shared" ref="V124" si="42">V122+V123</f>
        <v>2307797.9099999997</v>
      </c>
      <c r="W124" s="29">
        <f t="shared" ref="W124" si="43">W122+W123</f>
        <v>2177941.11</v>
      </c>
      <c r="X124" s="29">
        <f t="shared" ref="X124" si="44">X122+X123</f>
        <v>2046905.88</v>
      </c>
      <c r="Y124" s="26">
        <f t="shared" ref="Y124" si="45">Y122+Y123</f>
        <v>1912377.69</v>
      </c>
      <c r="Z124" s="26">
        <f t="shared" ref="Z124" si="46">Z122+Z123</f>
        <v>1772933.2999999998</v>
      </c>
      <c r="AA124" s="26">
        <f t="shared" ref="AA124" si="47">AA122+AA123</f>
        <v>1631653.4799999997</v>
      </c>
      <c r="AB124" s="26">
        <f t="shared" ref="AB124" si="48">AB122+AB123</f>
        <v>1485402.4899999998</v>
      </c>
      <c r="AC124" s="26">
        <f t="shared" ref="AC124" si="49">AC122+AC123</f>
        <v>1336727.2299999997</v>
      </c>
      <c r="AD124" s="26">
        <f t="shared" ref="AD124" si="50">AD122+AD123</f>
        <v>1184314.1499999997</v>
      </c>
      <c r="AE124" s="26">
        <f t="shared" ref="AE124" si="51">AE122+AE123</f>
        <v>1026183.6799999997</v>
      </c>
      <c r="AF124" s="26">
        <f t="shared" ref="AF124" si="52">AF122+AF123</f>
        <v>866011.24999999977</v>
      </c>
      <c r="AG124" s="26">
        <f t="shared" ref="AG124" si="53">AG122+AG123</f>
        <v>701138.68999999971</v>
      </c>
      <c r="AH124" s="26">
        <f t="shared" ref="AH124" si="54">AH122+AH123</f>
        <v>532844.57999999973</v>
      </c>
      <c r="AI124" s="26">
        <f t="shared" ref="AI124" si="55">AI122+AI123</f>
        <v>360187.22999999975</v>
      </c>
      <c r="AJ124" s="26">
        <f t="shared" ref="AJ124" si="56">AJ122+AJ123</f>
        <v>183373.98999999976</v>
      </c>
      <c r="AK124" s="26">
        <f t="shared" ref="AK124" si="57">AK122+AK123</f>
        <v>-2.3283064365386963E-10</v>
      </c>
    </row>
    <row r="125" spans="1:37" hidden="1" outlineLevel="1" x14ac:dyDescent="0.3">
      <c r="C125" s="1" t="s">
        <v>119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37" s="26" customFormat="1" hidden="1" outlineLevel="2" x14ac:dyDescent="0.3">
      <c r="A126" s="33"/>
      <c r="B126" s="33"/>
      <c r="C126" s="25" t="s">
        <v>114</v>
      </c>
      <c r="E126" s="29">
        <v>7071428.5</v>
      </c>
      <c r="F126" s="29">
        <f t="shared" ref="F126:AC126" si="58">E128</f>
        <v>6788571.3600000003</v>
      </c>
      <c r="G126" s="29">
        <f t="shared" si="58"/>
        <v>6505714.2200000007</v>
      </c>
      <c r="H126" s="29">
        <f t="shared" si="58"/>
        <v>6222857.080000001</v>
      </c>
      <c r="I126" s="29">
        <f t="shared" si="58"/>
        <v>5939999.9400000013</v>
      </c>
      <c r="J126" s="29">
        <f t="shared" si="58"/>
        <v>5657142.8000000017</v>
      </c>
      <c r="K126" s="29">
        <f t="shared" si="58"/>
        <v>5374285.660000002</v>
      </c>
      <c r="L126" s="29">
        <f t="shared" si="58"/>
        <v>5091428.5200000023</v>
      </c>
      <c r="M126" s="29">
        <f t="shared" si="58"/>
        <v>4808571.3800000027</v>
      </c>
      <c r="N126" s="29">
        <f t="shared" si="58"/>
        <v>4525714.240000003</v>
      </c>
      <c r="O126" s="29">
        <f t="shared" si="58"/>
        <v>4242857.1000000034</v>
      </c>
      <c r="P126" s="29">
        <f t="shared" si="58"/>
        <v>3959999.9600000032</v>
      </c>
      <c r="Q126" s="29">
        <f t="shared" si="58"/>
        <v>3677142.8200000031</v>
      </c>
      <c r="R126" s="29">
        <f t="shared" si="58"/>
        <v>3394285.680000003</v>
      </c>
      <c r="S126" s="29">
        <f t="shared" si="58"/>
        <v>3111428.5400000028</v>
      </c>
      <c r="T126" s="29">
        <f t="shared" si="58"/>
        <v>2828571.4000000027</v>
      </c>
      <c r="U126" s="29">
        <f t="shared" si="58"/>
        <v>2545714.2600000026</v>
      </c>
      <c r="V126" s="29">
        <f t="shared" si="58"/>
        <v>2262857.1200000024</v>
      </c>
      <c r="W126" s="29">
        <f t="shared" si="58"/>
        <v>1979999.9800000023</v>
      </c>
      <c r="X126" s="29">
        <f t="shared" si="58"/>
        <v>1697142.8400000022</v>
      </c>
      <c r="Y126" s="26">
        <f t="shared" si="58"/>
        <v>1414285.700000002</v>
      </c>
      <c r="Z126" s="26">
        <f t="shared" si="58"/>
        <v>1131428.5600000019</v>
      </c>
      <c r="AA126" s="26">
        <f t="shared" si="58"/>
        <v>848571.4200000019</v>
      </c>
      <c r="AB126" s="26">
        <f t="shared" si="58"/>
        <v>565714.28000000189</v>
      </c>
      <c r="AC126" s="26">
        <f t="shared" si="58"/>
        <v>282857.14000000188</v>
      </c>
    </row>
    <row r="127" spans="1:37" s="26" customFormat="1" hidden="1" outlineLevel="2" x14ac:dyDescent="0.3">
      <c r="A127" s="33"/>
      <c r="B127" s="33"/>
      <c r="C127" s="25" t="s">
        <v>115</v>
      </c>
      <c r="E127" s="29">
        <v>-282857.14</v>
      </c>
      <c r="F127" s="29">
        <v>-282857.14</v>
      </c>
      <c r="G127" s="29">
        <v>-282857.14</v>
      </c>
      <c r="H127" s="29">
        <v>-282857.14</v>
      </c>
      <c r="I127" s="29">
        <v>-282857.14</v>
      </c>
      <c r="J127" s="29">
        <v>-282857.14</v>
      </c>
      <c r="K127" s="29">
        <v>-282857.14</v>
      </c>
      <c r="L127" s="29">
        <v>-282857.14</v>
      </c>
      <c r="M127" s="29">
        <v>-282857.14</v>
      </c>
      <c r="N127" s="29">
        <v>-282857.14</v>
      </c>
      <c r="O127" s="29">
        <v>-282857.14</v>
      </c>
      <c r="P127" s="29">
        <v>-282857.14</v>
      </c>
      <c r="Q127" s="29">
        <v>-282857.14</v>
      </c>
      <c r="R127" s="29">
        <v>-282857.14</v>
      </c>
      <c r="S127" s="29">
        <v>-282857.14</v>
      </c>
      <c r="T127" s="29">
        <v>-282857.14</v>
      </c>
      <c r="U127" s="29">
        <v>-282857.14</v>
      </c>
      <c r="V127" s="29">
        <v>-282857.14</v>
      </c>
      <c r="W127" s="29">
        <v>-282857.14</v>
      </c>
      <c r="X127" s="29">
        <v>-282857.14</v>
      </c>
      <c r="Y127" s="26">
        <v>-282857.14</v>
      </c>
      <c r="Z127" s="26">
        <v>-282857.14</v>
      </c>
      <c r="AA127" s="26">
        <v>-282857.14</v>
      </c>
      <c r="AB127" s="26">
        <v>-282857.14</v>
      </c>
      <c r="AC127" s="26">
        <v>-282857.14</v>
      </c>
    </row>
    <row r="128" spans="1:37" s="26" customFormat="1" hidden="1" outlineLevel="2" x14ac:dyDescent="0.3">
      <c r="A128" s="33"/>
      <c r="B128" s="33"/>
      <c r="C128" s="25" t="s">
        <v>116</v>
      </c>
      <c r="E128" s="29">
        <f t="shared" ref="E128" si="59">E126+E127</f>
        <v>6788571.3600000003</v>
      </c>
      <c r="F128" s="29">
        <f t="shared" ref="F128" si="60">F126+F127</f>
        <v>6505714.2200000007</v>
      </c>
      <c r="G128" s="29">
        <f t="shared" ref="G128" si="61">G126+G127</f>
        <v>6222857.080000001</v>
      </c>
      <c r="H128" s="29">
        <f t="shared" ref="H128" si="62">H126+H127</f>
        <v>5939999.9400000013</v>
      </c>
      <c r="I128" s="29">
        <f t="shared" ref="I128" si="63">I126+I127</f>
        <v>5657142.8000000017</v>
      </c>
      <c r="J128" s="29">
        <f t="shared" ref="J128" si="64">J126+J127</f>
        <v>5374285.660000002</v>
      </c>
      <c r="K128" s="29">
        <f t="shared" ref="K128" si="65">K126+K127</f>
        <v>5091428.5200000023</v>
      </c>
      <c r="L128" s="29">
        <f t="shared" ref="L128" si="66">L126+L127</f>
        <v>4808571.3800000027</v>
      </c>
      <c r="M128" s="29">
        <f t="shared" ref="M128" si="67">M126+M127</f>
        <v>4525714.240000003</v>
      </c>
      <c r="N128" s="29">
        <f t="shared" ref="N128" si="68">N126+N127</f>
        <v>4242857.1000000034</v>
      </c>
      <c r="O128" s="29">
        <f t="shared" ref="O128" si="69">O126+O127</f>
        <v>3959999.9600000032</v>
      </c>
      <c r="P128" s="29">
        <f t="shared" ref="P128" si="70">P126+P127</f>
        <v>3677142.8200000031</v>
      </c>
      <c r="Q128" s="29">
        <f t="shared" ref="Q128" si="71">Q126+Q127</f>
        <v>3394285.680000003</v>
      </c>
      <c r="R128" s="29">
        <f t="shared" ref="R128" si="72">R126+R127</f>
        <v>3111428.5400000028</v>
      </c>
      <c r="S128" s="29">
        <f t="shared" ref="S128" si="73">S126+S127</f>
        <v>2828571.4000000027</v>
      </c>
      <c r="T128" s="29">
        <f t="shared" ref="T128" si="74">T126+T127</f>
        <v>2545714.2600000026</v>
      </c>
      <c r="U128" s="29">
        <f t="shared" ref="U128" si="75">U126+U127</f>
        <v>2262857.1200000024</v>
      </c>
      <c r="V128" s="29">
        <f t="shared" ref="V128" si="76">V126+V127</f>
        <v>1979999.9800000023</v>
      </c>
      <c r="W128" s="29">
        <f t="shared" ref="W128" si="77">W126+W127</f>
        <v>1697142.8400000022</v>
      </c>
      <c r="X128" s="29">
        <f t="shared" ref="X128" si="78">X126+X127</f>
        <v>1414285.700000002</v>
      </c>
      <c r="Y128" s="26">
        <f t="shared" ref="Y128" si="79">Y126+Y127</f>
        <v>1131428.5600000019</v>
      </c>
      <c r="Z128" s="26">
        <f t="shared" ref="Z128" si="80">Z126+Z127</f>
        <v>848571.4200000019</v>
      </c>
      <c r="AA128" s="26">
        <f t="shared" ref="AA128" si="81">AA126+AA127</f>
        <v>565714.28000000189</v>
      </c>
      <c r="AB128" s="26">
        <f t="shared" ref="AB128" si="82">AB126+AB127</f>
        <v>282857.14000000188</v>
      </c>
      <c r="AC128" s="26">
        <f t="shared" ref="AC128" si="83">AC126+AC127</f>
        <v>1.862645149230957E-9</v>
      </c>
    </row>
    <row r="129" spans="1:28" hidden="1" outlineLevel="1" x14ac:dyDescent="0.3">
      <c r="C129" s="1" t="s">
        <v>120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8" s="26" customFormat="1" hidden="1" outlineLevel="2" x14ac:dyDescent="0.3">
      <c r="A130" s="33"/>
      <c r="B130" s="33"/>
      <c r="C130" s="25" t="s">
        <v>114</v>
      </c>
      <c r="E130" s="29">
        <v>5333333.28</v>
      </c>
      <c r="F130" s="29">
        <f t="shared" ref="F130:AB130" si="84">E132</f>
        <v>5111111.0600000005</v>
      </c>
      <c r="G130" s="29">
        <f t="shared" si="84"/>
        <v>4888888.8400000008</v>
      </c>
      <c r="H130" s="29">
        <f t="shared" si="84"/>
        <v>4666666.620000001</v>
      </c>
      <c r="I130" s="29">
        <f t="shared" si="84"/>
        <v>4444444.4000000013</v>
      </c>
      <c r="J130" s="29">
        <f t="shared" si="84"/>
        <v>4222222.1800000016</v>
      </c>
      <c r="K130" s="29">
        <f t="shared" si="84"/>
        <v>3999999.9600000014</v>
      </c>
      <c r="L130" s="29">
        <f t="shared" si="84"/>
        <v>3777777.7400000012</v>
      </c>
      <c r="M130" s="29">
        <f t="shared" si="84"/>
        <v>3555555.5200000009</v>
      </c>
      <c r="N130" s="29">
        <f t="shared" si="84"/>
        <v>3333333.3000000007</v>
      </c>
      <c r="O130" s="29">
        <f t="shared" si="84"/>
        <v>3111111.0800000005</v>
      </c>
      <c r="P130" s="29">
        <f t="shared" si="84"/>
        <v>2888888.8600000003</v>
      </c>
      <c r="Q130" s="29">
        <f t="shared" si="84"/>
        <v>2666666.64</v>
      </c>
      <c r="R130" s="29">
        <f t="shared" si="84"/>
        <v>2444444.42</v>
      </c>
      <c r="S130" s="29">
        <f t="shared" si="84"/>
        <v>2222222.1999999997</v>
      </c>
      <c r="T130" s="29">
        <f t="shared" si="84"/>
        <v>1999999.9799999997</v>
      </c>
      <c r="U130" s="29">
        <f t="shared" si="84"/>
        <v>1777777.7599999998</v>
      </c>
      <c r="V130" s="29">
        <f t="shared" si="84"/>
        <v>1555555.5399999998</v>
      </c>
      <c r="W130" s="29">
        <f t="shared" si="84"/>
        <v>1333333.3199999998</v>
      </c>
      <c r="X130" s="29">
        <f t="shared" si="84"/>
        <v>1111111.0999999999</v>
      </c>
      <c r="Y130" s="26">
        <f t="shared" si="84"/>
        <v>888888.87999999989</v>
      </c>
      <c r="Z130" s="26">
        <f t="shared" si="84"/>
        <v>666666.65999999992</v>
      </c>
      <c r="AA130" s="26">
        <f t="shared" si="84"/>
        <v>444444.43999999994</v>
      </c>
      <c r="AB130" s="26">
        <f t="shared" si="84"/>
        <v>222222.21999999994</v>
      </c>
    </row>
    <row r="131" spans="1:28" s="26" customFormat="1" hidden="1" outlineLevel="2" x14ac:dyDescent="0.3">
      <c r="A131" s="33"/>
      <c r="B131" s="33"/>
      <c r="C131" s="25" t="s">
        <v>115</v>
      </c>
      <c r="E131" s="29">
        <v>-222222.22</v>
      </c>
      <c r="F131" s="29">
        <v>-222222.22</v>
      </c>
      <c r="G131" s="29">
        <v>-222222.22</v>
      </c>
      <c r="H131" s="29">
        <v>-222222.22</v>
      </c>
      <c r="I131" s="29">
        <v>-222222.22</v>
      </c>
      <c r="J131" s="29">
        <v>-222222.22</v>
      </c>
      <c r="K131" s="29">
        <v>-222222.22</v>
      </c>
      <c r="L131" s="29">
        <v>-222222.22</v>
      </c>
      <c r="M131" s="29">
        <v>-222222.22</v>
      </c>
      <c r="N131" s="29">
        <v>-222222.22</v>
      </c>
      <c r="O131" s="29">
        <v>-222222.22</v>
      </c>
      <c r="P131" s="29">
        <v>-222222.22</v>
      </c>
      <c r="Q131" s="29">
        <v>-222222.22</v>
      </c>
      <c r="R131" s="29">
        <v>-222222.22</v>
      </c>
      <c r="S131" s="29">
        <v>-222222.22</v>
      </c>
      <c r="T131" s="29">
        <v>-222222.22</v>
      </c>
      <c r="U131" s="29">
        <v>-222222.22</v>
      </c>
      <c r="V131" s="29">
        <v>-222222.22</v>
      </c>
      <c r="W131" s="29">
        <v>-222222.22</v>
      </c>
      <c r="X131" s="29">
        <v>-222222.22</v>
      </c>
      <c r="Y131" s="26">
        <v>-222222.22</v>
      </c>
      <c r="Z131" s="26">
        <v>-222222.22</v>
      </c>
      <c r="AA131" s="26">
        <v>-222222.22</v>
      </c>
      <c r="AB131" s="26">
        <v>-222222.22</v>
      </c>
    </row>
    <row r="132" spans="1:28" s="26" customFormat="1" hidden="1" outlineLevel="2" x14ac:dyDescent="0.3">
      <c r="A132" s="33"/>
      <c r="B132" s="33"/>
      <c r="C132" s="25" t="s">
        <v>116</v>
      </c>
      <c r="E132" s="29">
        <f t="shared" ref="E132" si="85">E130+E131</f>
        <v>5111111.0600000005</v>
      </c>
      <c r="F132" s="29">
        <f t="shared" ref="F132" si="86">F130+F131</f>
        <v>4888888.8400000008</v>
      </c>
      <c r="G132" s="29">
        <f t="shared" ref="G132" si="87">G130+G131</f>
        <v>4666666.620000001</v>
      </c>
      <c r="H132" s="29">
        <f t="shared" ref="H132" si="88">H130+H131</f>
        <v>4444444.4000000013</v>
      </c>
      <c r="I132" s="29">
        <f t="shared" ref="I132" si="89">I130+I131</f>
        <v>4222222.1800000016</v>
      </c>
      <c r="J132" s="29">
        <f t="shared" ref="J132" si="90">J130+J131</f>
        <v>3999999.9600000014</v>
      </c>
      <c r="K132" s="29">
        <f t="shared" ref="K132" si="91">K130+K131</f>
        <v>3777777.7400000012</v>
      </c>
      <c r="L132" s="29">
        <f t="shared" ref="L132" si="92">L130+L131</f>
        <v>3555555.5200000009</v>
      </c>
      <c r="M132" s="29">
        <f t="shared" ref="M132" si="93">M130+M131</f>
        <v>3333333.3000000007</v>
      </c>
      <c r="N132" s="29">
        <f t="shared" ref="N132" si="94">N130+N131</f>
        <v>3111111.0800000005</v>
      </c>
      <c r="O132" s="29">
        <f t="shared" ref="O132" si="95">O130+O131</f>
        <v>2888888.8600000003</v>
      </c>
      <c r="P132" s="29">
        <f t="shared" ref="P132" si="96">P130+P131</f>
        <v>2666666.64</v>
      </c>
      <c r="Q132" s="29">
        <f t="shared" ref="Q132" si="97">Q130+Q131</f>
        <v>2444444.42</v>
      </c>
      <c r="R132" s="29">
        <f t="shared" ref="R132" si="98">R130+R131</f>
        <v>2222222.1999999997</v>
      </c>
      <c r="S132" s="29">
        <f t="shared" ref="S132" si="99">S130+S131</f>
        <v>1999999.9799999997</v>
      </c>
      <c r="T132" s="29">
        <f t="shared" ref="T132" si="100">T130+T131</f>
        <v>1777777.7599999998</v>
      </c>
      <c r="U132" s="29">
        <f t="shared" ref="U132" si="101">U130+U131</f>
        <v>1555555.5399999998</v>
      </c>
      <c r="V132" s="29">
        <f t="shared" ref="V132" si="102">V130+V131</f>
        <v>1333333.3199999998</v>
      </c>
      <c r="W132" s="29">
        <f t="shared" ref="W132" si="103">W130+W131</f>
        <v>1111111.0999999999</v>
      </c>
      <c r="X132" s="29">
        <f t="shared" ref="X132" si="104">X130+X131</f>
        <v>888888.87999999989</v>
      </c>
      <c r="Y132" s="26">
        <f t="shared" ref="Y132" si="105">Y130+Y131</f>
        <v>666666.65999999992</v>
      </c>
      <c r="Z132" s="26">
        <f t="shared" ref="Z132" si="106">Z130+Z131</f>
        <v>444444.43999999994</v>
      </c>
      <c r="AA132" s="26">
        <f t="shared" ref="AA132" si="107">AA130+AA131</f>
        <v>222222.21999999994</v>
      </c>
      <c r="AB132" s="26">
        <f t="shared" ref="AB132" si="108">AB130+AB131</f>
        <v>0</v>
      </c>
    </row>
    <row r="133" spans="1:28" hidden="1" outlineLevel="1" x14ac:dyDescent="0.3">
      <c r="C133" s="1" t="s">
        <v>121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8" s="26" customFormat="1" hidden="1" outlineLevel="2" x14ac:dyDescent="0.3">
      <c r="A134" s="33"/>
      <c r="B134" s="33"/>
      <c r="C134" s="25" t="s">
        <v>114</v>
      </c>
      <c r="E134" s="29">
        <v>268325.59999999998</v>
      </c>
      <c r="F134" s="29">
        <f t="shared" ref="F134:T134" si="109">E136</f>
        <v>251555.24999999997</v>
      </c>
      <c r="G134" s="29">
        <f t="shared" si="109"/>
        <v>234784.89999999997</v>
      </c>
      <c r="H134" s="29">
        <f t="shared" si="109"/>
        <v>218014.54999999996</v>
      </c>
      <c r="I134" s="29">
        <f t="shared" si="109"/>
        <v>201244.19999999995</v>
      </c>
      <c r="J134" s="29">
        <f t="shared" si="109"/>
        <v>184473.84999999995</v>
      </c>
      <c r="K134" s="29">
        <f t="shared" si="109"/>
        <v>167703.49999999994</v>
      </c>
      <c r="L134" s="29">
        <f t="shared" si="109"/>
        <v>150933.14999999994</v>
      </c>
      <c r="M134" s="29">
        <f t="shared" si="109"/>
        <v>134162.79999999993</v>
      </c>
      <c r="N134" s="29">
        <f t="shared" si="109"/>
        <v>117392.44999999992</v>
      </c>
      <c r="O134" s="29">
        <f t="shared" si="109"/>
        <v>100622.09999999992</v>
      </c>
      <c r="P134" s="29">
        <f t="shared" si="109"/>
        <v>83851.749999999913</v>
      </c>
      <c r="Q134" s="29">
        <f t="shared" si="109"/>
        <v>67081.399999999907</v>
      </c>
      <c r="R134" s="29">
        <f t="shared" si="109"/>
        <v>50311.049999999908</v>
      </c>
      <c r="S134" s="29">
        <f t="shared" si="109"/>
        <v>33540.69999999991</v>
      </c>
      <c r="T134" s="29">
        <f t="shared" si="109"/>
        <v>16770.349999999911</v>
      </c>
      <c r="U134" s="29"/>
      <c r="V134" s="29"/>
      <c r="W134" s="29"/>
      <c r="X134" s="29"/>
    </row>
    <row r="135" spans="1:28" s="26" customFormat="1" hidden="1" outlineLevel="2" x14ac:dyDescent="0.3">
      <c r="A135" s="33"/>
      <c r="B135" s="33"/>
      <c r="C135" s="25" t="s">
        <v>115</v>
      </c>
      <c r="E135" s="29">
        <v>-16770.349999999999</v>
      </c>
      <c r="F135" s="29">
        <v>-16770.349999999999</v>
      </c>
      <c r="G135" s="29">
        <v>-16770.349999999999</v>
      </c>
      <c r="H135" s="29">
        <v>-16770.349999999999</v>
      </c>
      <c r="I135" s="29">
        <v>-16770.349999999999</v>
      </c>
      <c r="J135" s="29">
        <v>-16770.349999999999</v>
      </c>
      <c r="K135" s="29">
        <v>-16770.349999999999</v>
      </c>
      <c r="L135" s="29">
        <v>-16770.349999999999</v>
      </c>
      <c r="M135" s="29">
        <v>-16770.349999999999</v>
      </c>
      <c r="N135" s="29">
        <v>-16770.349999999999</v>
      </c>
      <c r="O135" s="29">
        <v>-16770.349999999999</v>
      </c>
      <c r="P135" s="29">
        <v>-16770.349999999999</v>
      </c>
      <c r="Q135" s="29">
        <v>-16770.349999999999</v>
      </c>
      <c r="R135" s="29">
        <v>-16770.349999999999</v>
      </c>
      <c r="S135" s="29">
        <v>-16770.349999999999</v>
      </c>
      <c r="T135" s="29">
        <v>-16770.349999999999</v>
      </c>
      <c r="U135" s="29"/>
      <c r="V135" s="29"/>
      <c r="W135" s="29"/>
      <c r="X135" s="29"/>
    </row>
    <row r="136" spans="1:28" s="26" customFormat="1" hidden="1" outlineLevel="2" x14ac:dyDescent="0.3">
      <c r="A136" s="33"/>
      <c r="B136" s="33"/>
      <c r="C136" s="25" t="s">
        <v>116</v>
      </c>
      <c r="E136" s="29">
        <f t="shared" ref="E136" si="110">E134+E135</f>
        <v>251555.24999999997</v>
      </c>
      <c r="F136" s="29">
        <f t="shared" ref="F136" si="111">F134+F135</f>
        <v>234784.89999999997</v>
      </c>
      <c r="G136" s="29">
        <f t="shared" ref="G136" si="112">G134+G135</f>
        <v>218014.54999999996</v>
      </c>
      <c r="H136" s="29">
        <f t="shared" ref="H136" si="113">H134+H135</f>
        <v>201244.19999999995</v>
      </c>
      <c r="I136" s="29">
        <f t="shared" ref="I136" si="114">I134+I135</f>
        <v>184473.84999999995</v>
      </c>
      <c r="J136" s="29">
        <f t="shared" ref="J136" si="115">J134+J135</f>
        <v>167703.49999999994</v>
      </c>
      <c r="K136" s="29">
        <f t="shared" ref="K136" si="116">K134+K135</f>
        <v>150933.14999999994</v>
      </c>
      <c r="L136" s="29">
        <f t="shared" ref="L136" si="117">L134+L135</f>
        <v>134162.79999999993</v>
      </c>
      <c r="M136" s="29">
        <f t="shared" ref="M136" si="118">M134+M135</f>
        <v>117392.44999999992</v>
      </c>
      <c r="N136" s="29">
        <f t="shared" ref="N136" si="119">N134+N135</f>
        <v>100622.09999999992</v>
      </c>
      <c r="O136" s="29">
        <f t="shared" ref="O136" si="120">O134+O135</f>
        <v>83851.749999999913</v>
      </c>
      <c r="P136" s="29">
        <f t="shared" ref="P136" si="121">P134+P135</f>
        <v>67081.399999999907</v>
      </c>
      <c r="Q136" s="29">
        <f t="shared" ref="Q136" si="122">Q134+Q135</f>
        <v>50311.049999999908</v>
      </c>
      <c r="R136" s="29">
        <f t="shared" ref="R136" si="123">R134+R135</f>
        <v>33540.69999999991</v>
      </c>
      <c r="S136" s="29">
        <f t="shared" ref="S136" si="124">S134+S135</f>
        <v>16770.349999999911</v>
      </c>
      <c r="T136" s="29">
        <f t="shared" ref="T136" si="125">T134+T135</f>
        <v>-8.7311491370201111E-11</v>
      </c>
      <c r="U136" s="29"/>
      <c r="V136" s="29"/>
      <c r="W136" s="29"/>
      <c r="X136" s="29"/>
    </row>
    <row r="137" spans="1:28" hidden="1" outlineLevel="1" x14ac:dyDescent="0.3">
      <c r="C137" s="1" t="s">
        <v>122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8" s="26" customFormat="1" hidden="1" outlineLevel="2" x14ac:dyDescent="0.3">
      <c r="A138" s="33"/>
      <c r="B138" s="33"/>
      <c r="C138" s="25" t="s">
        <v>114</v>
      </c>
      <c r="E138" s="29">
        <v>268325.59999999998</v>
      </c>
      <c r="F138" s="29">
        <f t="shared" ref="F138:T138" si="126">E140</f>
        <v>251555.24999999997</v>
      </c>
      <c r="G138" s="29">
        <f t="shared" si="126"/>
        <v>234784.89999999997</v>
      </c>
      <c r="H138" s="29">
        <f t="shared" si="126"/>
        <v>218014.54999999996</v>
      </c>
      <c r="I138" s="29">
        <f t="shared" si="126"/>
        <v>201244.19999999995</v>
      </c>
      <c r="J138" s="29">
        <f t="shared" si="126"/>
        <v>184473.84999999995</v>
      </c>
      <c r="K138" s="29">
        <f t="shared" si="126"/>
        <v>167703.49999999994</v>
      </c>
      <c r="L138" s="29">
        <f t="shared" si="126"/>
        <v>150933.14999999994</v>
      </c>
      <c r="M138" s="29">
        <f t="shared" si="126"/>
        <v>134162.79999999993</v>
      </c>
      <c r="N138" s="29">
        <f t="shared" si="126"/>
        <v>117392.44999999992</v>
      </c>
      <c r="O138" s="29">
        <f t="shared" si="126"/>
        <v>100622.09999999992</v>
      </c>
      <c r="P138" s="29">
        <f t="shared" si="126"/>
        <v>83851.749999999913</v>
      </c>
      <c r="Q138" s="29">
        <f t="shared" si="126"/>
        <v>67081.399999999907</v>
      </c>
      <c r="R138" s="29">
        <f t="shared" si="126"/>
        <v>50311.049999999908</v>
      </c>
      <c r="S138" s="29">
        <f t="shared" si="126"/>
        <v>33540.69999999991</v>
      </c>
      <c r="T138" s="29">
        <f t="shared" si="126"/>
        <v>16770.349999999911</v>
      </c>
      <c r="U138" s="29"/>
      <c r="V138" s="29"/>
      <c r="W138" s="29"/>
      <c r="X138" s="29"/>
    </row>
    <row r="139" spans="1:28" s="26" customFormat="1" hidden="1" outlineLevel="2" x14ac:dyDescent="0.3">
      <c r="A139" s="33"/>
      <c r="B139" s="33"/>
      <c r="C139" s="25" t="s">
        <v>115</v>
      </c>
      <c r="E139" s="29">
        <v>-16770.349999999999</v>
      </c>
      <c r="F139" s="29">
        <v>-16770.349999999999</v>
      </c>
      <c r="G139" s="29">
        <v>-16770.349999999999</v>
      </c>
      <c r="H139" s="29">
        <v>-16770.349999999999</v>
      </c>
      <c r="I139" s="29">
        <v>-16770.349999999999</v>
      </c>
      <c r="J139" s="29">
        <v>-16770.349999999999</v>
      </c>
      <c r="K139" s="29">
        <v>-16770.349999999999</v>
      </c>
      <c r="L139" s="29">
        <v>-16770.349999999999</v>
      </c>
      <c r="M139" s="29">
        <v>-16770.349999999999</v>
      </c>
      <c r="N139" s="29">
        <v>-16770.349999999999</v>
      </c>
      <c r="O139" s="29">
        <v>-16770.349999999999</v>
      </c>
      <c r="P139" s="29">
        <v>-16770.349999999999</v>
      </c>
      <c r="Q139" s="29">
        <v>-16770.349999999999</v>
      </c>
      <c r="R139" s="29">
        <v>-16770.349999999999</v>
      </c>
      <c r="S139" s="29">
        <v>-16770.349999999999</v>
      </c>
      <c r="T139" s="29">
        <v>-16770.349999999999</v>
      </c>
      <c r="U139" s="29"/>
      <c r="V139" s="29"/>
      <c r="W139" s="29"/>
      <c r="X139" s="29"/>
    </row>
    <row r="140" spans="1:28" s="26" customFormat="1" hidden="1" outlineLevel="2" x14ac:dyDescent="0.3">
      <c r="A140" s="33"/>
      <c r="B140" s="33"/>
      <c r="C140" s="25" t="s">
        <v>116</v>
      </c>
      <c r="E140" s="29">
        <f t="shared" ref="E140" si="127">E138+E139</f>
        <v>251555.24999999997</v>
      </c>
      <c r="F140" s="29">
        <f t="shared" ref="F140" si="128">F138+F139</f>
        <v>234784.89999999997</v>
      </c>
      <c r="G140" s="29">
        <f t="shared" ref="G140" si="129">G138+G139</f>
        <v>218014.54999999996</v>
      </c>
      <c r="H140" s="29">
        <f t="shared" ref="H140" si="130">H138+H139</f>
        <v>201244.19999999995</v>
      </c>
      <c r="I140" s="29">
        <f t="shared" ref="I140" si="131">I138+I139</f>
        <v>184473.84999999995</v>
      </c>
      <c r="J140" s="29">
        <f t="shared" ref="J140" si="132">J138+J139</f>
        <v>167703.49999999994</v>
      </c>
      <c r="K140" s="29">
        <f t="shared" ref="K140" si="133">K138+K139</f>
        <v>150933.14999999994</v>
      </c>
      <c r="L140" s="29">
        <f t="shared" ref="L140" si="134">L138+L139</f>
        <v>134162.79999999993</v>
      </c>
      <c r="M140" s="29">
        <f t="shared" ref="M140" si="135">M138+M139</f>
        <v>117392.44999999992</v>
      </c>
      <c r="N140" s="29">
        <f t="shared" ref="N140" si="136">N138+N139</f>
        <v>100622.09999999992</v>
      </c>
      <c r="O140" s="29">
        <f t="shared" ref="O140" si="137">O138+O139</f>
        <v>83851.749999999913</v>
      </c>
      <c r="P140" s="29">
        <f t="shared" ref="P140" si="138">P138+P139</f>
        <v>67081.399999999907</v>
      </c>
      <c r="Q140" s="29">
        <f t="shared" ref="Q140" si="139">Q138+Q139</f>
        <v>50311.049999999908</v>
      </c>
      <c r="R140" s="29">
        <f t="shared" ref="R140" si="140">R138+R139</f>
        <v>33540.69999999991</v>
      </c>
      <c r="S140" s="29">
        <f t="shared" ref="S140" si="141">S138+S139</f>
        <v>16770.349999999911</v>
      </c>
      <c r="T140" s="29">
        <f t="shared" ref="T140" si="142">T138+T139</f>
        <v>-8.7311491370201111E-11</v>
      </c>
      <c r="U140" s="29"/>
      <c r="V140" s="29"/>
      <c r="W140" s="29"/>
      <c r="X140" s="29"/>
    </row>
    <row r="141" spans="1:28" hidden="1" outlineLevel="1" x14ac:dyDescent="0.3">
      <c r="C141" s="1" t="s">
        <v>123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8" s="26" customFormat="1" hidden="1" outlineLevel="2" x14ac:dyDescent="0.3">
      <c r="A142" s="33"/>
      <c r="B142" s="33"/>
      <c r="C142" s="25" t="s">
        <v>114</v>
      </c>
      <c r="E142" s="29">
        <v>268325.59999999998</v>
      </c>
      <c r="F142" s="29">
        <f t="shared" ref="F142:T142" si="143">E144</f>
        <v>251555.24999999997</v>
      </c>
      <c r="G142" s="29">
        <f t="shared" si="143"/>
        <v>234784.89999999997</v>
      </c>
      <c r="H142" s="29">
        <f t="shared" si="143"/>
        <v>218014.54999999996</v>
      </c>
      <c r="I142" s="29">
        <f t="shared" si="143"/>
        <v>201244.19999999995</v>
      </c>
      <c r="J142" s="29">
        <f t="shared" si="143"/>
        <v>184473.84999999995</v>
      </c>
      <c r="K142" s="29">
        <f t="shared" si="143"/>
        <v>167703.49999999994</v>
      </c>
      <c r="L142" s="29">
        <f t="shared" si="143"/>
        <v>150933.14999999994</v>
      </c>
      <c r="M142" s="29">
        <f t="shared" si="143"/>
        <v>134162.79999999993</v>
      </c>
      <c r="N142" s="29">
        <f t="shared" si="143"/>
        <v>117392.44999999992</v>
      </c>
      <c r="O142" s="29">
        <f t="shared" si="143"/>
        <v>100622.09999999992</v>
      </c>
      <c r="P142" s="29">
        <f t="shared" si="143"/>
        <v>83851.749999999913</v>
      </c>
      <c r="Q142" s="29">
        <f t="shared" si="143"/>
        <v>67081.399999999907</v>
      </c>
      <c r="R142" s="29">
        <f t="shared" si="143"/>
        <v>50311.049999999908</v>
      </c>
      <c r="S142" s="29">
        <f t="shared" si="143"/>
        <v>33540.69999999991</v>
      </c>
      <c r="T142" s="29">
        <f t="shared" si="143"/>
        <v>16770.349999999911</v>
      </c>
      <c r="U142" s="29"/>
      <c r="V142" s="29"/>
      <c r="W142" s="29"/>
      <c r="X142" s="29"/>
    </row>
    <row r="143" spans="1:28" s="26" customFormat="1" hidden="1" outlineLevel="2" x14ac:dyDescent="0.3">
      <c r="A143" s="33"/>
      <c r="B143" s="33"/>
      <c r="C143" s="25" t="s">
        <v>115</v>
      </c>
      <c r="E143" s="29">
        <v>-16770.349999999999</v>
      </c>
      <c r="F143" s="29">
        <v>-16770.349999999999</v>
      </c>
      <c r="G143" s="29">
        <v>-16770.349999999999</v>
      </c>
      <c r="H143" s="29">
        <v>-16770.349999999999</v>
      </c>
      <c r="I143" s="29">
        <v>-16770.349999999999</v>
      </c>
      <c r="J143" s="29">
        <v>-16770.349999999999</v>
      </c>
      <c r="K143" s="29">
        <v>-16770.349999999999</v>
      </c>
      <c r="L143" s="29">
        <v>-16770.349999999999</v>
      </c>
      <c r="M143" s="29">
        <v>-16770.349999999999</v>
      </c>
      <c r="N143" s="29">
        <v>-16770.349999999999</v>
      </c>
      <c r="O143" s="29">
        <v>-16770.349999999999</v>
      </c>
      <c r="P143" s="29">
        <v>-16770.349999999999</v>
      </c>
      <c r="Q143" s="29">
        <v>-16770.349999999999</v>
      </c>
      <c r="R143" s="29">
        <v>-16770.349999999999</v>
      </c>
      <c r="S143" s="29">
        <v>-16770.349999999999</v>
      </c>
      <c r="T143" s="29">
        <v>-16770.349999999999</v>
      </c>
      <c r="U143" s="29"/>
      <c r="V143" s="29"/>
      <c r="W143" s="29"/>
      <c r="X143" s="29"/>
    </row>
    <row r="144" spans="1:28" s="26" customFormat="1" hidden="1" outlineLevel="2" x14ac:dyDescent="0.3">
      <c r="A144" s="33"/>
      <c r="B144" s="33"/>
      <c r="C144" s="25" t="s">
        <v>116</v>
      </c>
      <c r="E144" s="29">
        <f t="shared" ref="E144" si="144">E142+E143</f>
        <v>251555.24999999997</v>
      </c>
      <c r="F144" s="29">
        <f t="shared" ref="F144" si="145">F142+F143</f>
        <v>234784.89999999997</v>
      </c>
      <c r="G144" s="29">
        <f t="shared" ref="G144" si="146">G142+G143</f>
        <v>218014.54999999996</v>
      </c>
      <c r="H144" s="29">
        <f t="shared" ref="H144" si="147">H142+H143</f>
        <v>201244.19999999995</v>
      </c>
      <c r="I144" s="29">
        <f t="shared" ref="I144" si="148">I142+I143</f>
        <v>184473.84999999995</v>
      </c>
      <c r="J144" s="29">
        <f t="shared" ref="J144" si="149">J142+J143</f>
        <v>167703.49999999994</v>
      </c>
      <c r="K144" s="29">
        <f t="shared" ref="K144" si="150">K142+K143</f>
        <v>150933.14999999994</v>
      </c>
      <c r="L144" s="29">
        <f t="shared" ref="L144" si="151">L142+L143</f>
        <v>134162.79999999993</v>
      </c>
      <c r="M144" s="29">
        <f t="shared" ref="M144" si="152">M142+M143</f>
        <v>117392.44999999992</v>
      </c>
      <c r="N144" s="29">
        <f t="shared" ref="N144" si="153">N142+N143</f>
        <v>100622.09999999992</v>
      </c>
      <c r="O144" s="29">
        <f t="shared" ref="O144" si="154">O142+O143</f>
        <v>83851.749999999913</v>
      </c>
      <c r="P144" s="29">
        <f t="shared" ref="P144" si="155">P142+P143</f>
        <v>67081.399999999907</v>
      </c>
      <c r="Q144" s="29">
        <f t="shared" ref="Q144" si="156">Q142+Q143</f>
        <v>50311.049999999908</v>
      </c>
      <c r="R144" s="29">
        <f t="shared" ref="R144" si="157">R142+R143</f>
        <v>33540.69999999991</v>
      </c>
      <c r="S144" s="29">
        <f t="shared" ref="S144" si="158">S142+S143</f>
        <v>16770.349999999911</v>
      </c>
      <c r="T144" s="29">
        <f t="shared" ref="T144" si="159">T142+T143</f>
        <v>-8.7311491370201111E-11</v>
      </c>
      <c r="U144" s="29"/>
      <c r="V144" s="29"/>
      <c r="W144" s="29"/>
      <c r="X144" s="29"/>
    </row>
    <row r="145" spans="1:37" hidden="1" outlineLevel="1" x14ac:dyDescent="0.3">
      <c r="C145" s="1" t="s">
        <v>124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37" s="26" customFormat="1" hidden="1" outlineLevel="2" x14ac:dyDescent="0.3">
      <c r="A146" s="33"/>
      <c r="B146" s="33"/>
      <c r="C146" s="25" t="s">
        <v>114</v>
      </c>
      <c r="E146" s="29"/>
      <c r="F146" s="29"/>
      <c r="G146" s="29">
        <v>10000000</v>
      </c>
      <c r="H146" s="29">
        <f t="shared" ref="H146:R146" si="160">G148</f>
        <v>9166666.666666666</v>
      </c>
      <c r="I146" s="29">
        <f t="shared" si="160"/>
        <v>8333333.333333333</v>
      </c>
      <c r="J146" s="29">
        <f t="shared" si="160"/>
        <v>7500000</v>
      </c>
      <c r="K146" s="29">
        <f t="shared" si="160"/>
        <v>6666666.666666667</v>
      </c>
      <c r="L146" s="29">
        <f t="shared" si="160"/>
        <v>5833333.333333334</v>
      </c>
      <c r="M146" s="29">
        <f t="shared" si="160"/>
        <v>5000000.0000000009</v>
      </c>
      <c r="N146" s="29">
        <f t="shared" si="160"/>
        <v>4166666.6666666674</v>
      </c>
      <c r="O146" s="29">
        <f t="shared" si="160"/>
        <v>3333333.333333334</v>
      </c>
      <c r="P146" s="29">
        <f t="shared" si="160"/>
        <v>2500000.0000000005</v>
      </c>
      <c r="Q146" s="29">
        <f t="shared" si="160"/>
        <v>1666666.666666667</v>
      </c>
      <c r="R146" s="29">
        <f t="shared" si="160"/>
        <v>833333.3333333336</v>
      </c>
      <c r="S146" s="29"/>
      <c r="T146" s="29"/>
      <c r="U146" s="29"/>
      <c r="V146" s="29"/>
      <c r="W146" s="29"/>
      <c r="X146" s="29"/>
    </row>
    <row r="147" spans="1:37" s="26" customFormat="1" hidden="1" outlineLevel="2" x14ac:dyDescent="0.3">
      <c r="A147" s="33"/>
      <c r="B147" s="33"/>
      <c r="C147" s="25" t="s">
        <v>115</v>
      </c>
      <c r="E147" s="29"/>
      <c r="F147" s="29"/>
      <c r="G147" s="29">
        <v>-833333.33333333337</v>
      </c>
      <c r="H147" s="29">
        <v>-833333.33333333337</v>
      </c>
      <c r="I147" s="29">
        <v>-833333.33333333337</v>
      </c>
      <c r="J147" s="29">
        <v>-833333.33333333337</v>
      </c>
      <c r="K147" s="29">
        <v>-833333.33333333337</v>
      </c>
      <c r="L147" s="29">
        <v>-833333.33333333337</v>
      </c>
      <c r="M147" s="29">
        <v>-833333.33333333337</v>
      </c>
      <c r="N147" s="29">
        <v>-833333.33333333337</v>
      </c>
      <c r="O147" s="29">
        <v>-833333.33333333337</v>
      </c>
      <c r="P147" s="29">
        <v>-833333.33333333337</v>
      </c>
      <c r="Q147" s="29">
        <v>-833333.33333333337</v>
      </c>
      <c r="R147" s="29">
        <v>-833333.33333333337</v>
      </c>
      <c r="S147" s="29"/>
      <c r="T147" s="29"/>
      <c r="U147" s="29"/>
      <c r="V147" s="29"/>
      <c r="W147" s="29"/>
      <c r="X147" s="29"/>
    </row>
    <row r="148" spans="1:37" s="26" customFormat="1" hidden="1" outlineLevel="2" x14ac:dyDescent="0.3">
      <c r="A148" s="33"/>
      <c r="B148" s="33"/>
      <c r="C148" s="25" t="s">
        <v>116</v>
      </c>
      <c r="E148" s="29"/>
      <c r="F148" s="29"/>
      <c r="G148" s="29">
        <f t="shared" ref="G148" si="161">G146+G147</f>
        <v>9166666.666666666</v>
      </c>
      <c r="H148" s="29">
        <f t="shared" ref="H148" si="162">H146+H147</f>
        <v>8333333.333333333</v>
      </c>
      <c r="I148" s="29">
        <f t="shared" ref="I148" si="163">I146+I147</f>
        <v>7500000</v>
      </c>
      <c r="J148" s="29">
        <f t="shared" ref="J148" si="164">J146+J147</f>
        <v>6666666.666666667</v>
      </c>
      <c r="K148" s="29">
        <f t="shared" ref="K148" si="165">K146+K147</f>
        <v>5833333.333333334</v>
      </c>
      <c r="L148" s="29">
        <f t="shared" ref="L148" si="166">L146+L147</f>
        <v>5000000.0000000009</v>
      </c>
      <c r="M148" s="29">
        <f t="shared" ref="M148" si="167">M146+M147</f>
        <v>4166666.6666666674</v>
      </c>
      <c r="N148" s="29">
        <f t="shared" ref="N148" si="168">N146+N147</f>
        <v>3333333.333333334</v>
      </c>
      <c r="O148" s="29">
        <f t="shared" ref="O148" si="169">O146+O147</f>
        <v>2500000.0000000005</v>
      </c>
      <c r="P148" s="29">
        <f t="shared" ref="P148" si="170">P146+P147</f>
        <v>1666666.666666667</v>
      </c>
      <c r="Q148" s="29">
        <f t="shared" ref="Q148" si="171">Q146+Q147</f>
        <v>833333.3333333336</v>
      </c>
      <c r="R148" s="29">
        <f t="shared" ref="R148" si="172">R146+R147</f>
        <v>0</v>
      </c>
      <c r="S148" s="29"/>
      <c r="T148" s="29"/>
      <c r="U148" s="29"/>
      <c r="V148" s="29"/>
      <c r="W148" s="29"/>
      <c r="X148" s="29"/>
    </row>
    <row r="149" spans="1:37" hidden="1" outlineLevel="1" x14ac:dyDescent="0.3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37" x14ac:dyDescent="0.3">
      <c r="C150" s="1" t="s">
        <v>126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3">
      <c r="C151" s="25" t="s">
        <v>127</v>
      </c>
      <c r="E151" s="3">
        <f>SUMIFS(E$155:E$186,$C$155:$C$186,$C151)</f>
        <v>21500000</v>
      </c>
      <c r="F151" s="3">
        <f t="shared" ref="F151:AK153" si="173">SUMIFS(F$155:F$186,$C$155:$C$186,$C151)</f>
        <v>21053141</v>
      </c>
      <c r="G151" s="3">
        <f t="shared" si="173"/>
        <v>20606282</v>
      </c>
      <c r="H151" s="3">
        <f t="shared" si="173"/>
        <v>20159423</v>
      </c>
      <c r="I151" s="3">
        <f t="shared" si="173"/>
        <v>19712564</v>
      </c>
      <c r="J151" s="3">
        <f t="shared" si="173"/>
        <v>19265705</v>
      </c>
      <c r="K151" s="3">
        <f t="shared" si="173"/>
        <v>18818846</v>
      </c>
      <c r="L151" s="3">
        <f t="shared" si="173"/>
        <v>18371987</v>
      </c>
      <c r="M151" s="3">
        <f t="shared" si="173"/>
        <v>17925128</v>
      </c>
      <c r="N151" s="3">
        <f t="shared" si="173"/>
        <v>17478269</v>
      </c>
      <c r="O151" s="3">
        <f t="shared" si="173"/>
        <v>17031410</v>
      </c>
      <c r="P151" s="3">
        <f t="shared" si="173"/>
        <v>16584551</v>
      </c>
      <c r="Q151" s="3">
        <f t="shared" si="173"/>
        <v>16137692</v>
      </c>
      <c r="R151" s="3">
        <f t="shared" si="173"/>
        <v>15690833</v>
      </c>
      <c r="S151" s="3">
        <f t="shared" si="173"/>
        <v>15243974</v>
      </c>
      <c r="T151" s="3">
        <f t="shared" si="173"/>
        <v>14072180</v>
      </c>
      <c r="U151" s="3">
        <f t="shared" si="173"/>
        <v>6323264</v>
      </c>
      <c r="V151" s="3">
        <f t="shared" si="173"/>
        <v>6155968</v>
      </c>
      <c r="W151" s="3">
        <f t="shared" si="173"/>
        <v>5988672</v>
      </c>
      <c r="X151" s="3">
        <f t="shared" si="173"/>
        <v>5821376</v>
      </c>
      <c r="Y151" s="3">
        <f t="shared" si="173"/>
        <v>5654080</v>
      </c>
      <c r="Z151" s="3">
        <f t="shared" si="173"/>
        <v>5486784</v>
      </c>
      <c r="AA151" s="3">
        <f t="shared" si="173"/>
        <v>5319488</v>
      </c>
      <c r="AB151" s="3">
        <f t="shared" si="173"/>
        <v>5152192</v>
      </c>
      <c r="AC151" s="3">
        <f t="shared" si="173"/>
        <v>954120</v>
      </c>
      <c r="AD151" s="3">
        <f t="shared" si="173"/>
        <v>6925</v>
      </c>
      <c r="AE151" s="3">
        <f t="shared" si="173"/>
        <v>-52798</v>
      </c>
      <c r="AF151" s="3">
        <f t="shared" si="173"/>
        <v>-112521</v>
      </c>
      <c r="AG151" s="3">
        <f t="shared" si="173"/>
        <v>-172244</v>
      </c>
      <c r="AH151" s="3">
        <f t="shared" si="173"/>
        <v>-231967</v>
      </c>
      <c r="AI151" s="3">
        <f t="shared" si="173"/>
        <v>-291690</v>
      </c>
      <c r="AJ151" s="3">
        <f t="shared" si="173"/>
        <v>-351413</v>
      </c>
      <c r="AK151" s="3">
        <f t="shared" si="173"/>
        <v>-411136</v>
      </c>
    </row>
    <row r="152" spans="1:37" x14ac:dyDescent="0.3">
      <c r="B152" s="33" t="s">
        <v>190</v>
      </c>
      <c r="C152" s="25" t="s">
        <v>128</v>
      </c>
      <c r="E152" s="3">
        <f t="shared" ref="E152:T153" si="174">SUMIFS(E$155:E$186,$C$155:$C$186,$C152)</f>
        <v>-446859</v>
      </c>
      <c r="F152" s="3">
        <f t="shared" si="174"/>
        <v>-446859</v>
      </c>
      <c r="G152" s="3">
        <f t="shared" si="174"/>
        <v>-446859</v>
      </c>
      <c r="H152" s="3">
        <f t="shared" si="174"/>
        <v>-446859</v>
      </c>
      <c r="I152" s="3">
        <f t="shared" si="174"/>
        <v>-446859</v>
      </c>
      <c r="J152" s="3">
        <f t="shared" si="174"/>
        <v>-446859</v>
      </c>
      <c r="K152" s="3">
        <f t="shared" si="174"/>
        <v>-446859</v>
      </c>
      <c r="L152" s="3">
        <f t="shared" si="174"/>
        <v>-446859</v>
      </c>
      <c r="M152" s="3">
        <f t="shared" si="174"/>
        <v>-446859</v>
      </c>
      <c r="N152" s="3">
        <f t="shared" si="174"/>
        <v>-446859</v>
      </c>
      <c r="O152" s="3">
        <f t="shared" si="174"/>
        <v>-446859</v>
      </c>
      <c r="P152" s="3">
        <f t="shared" si="174"/>
        <v>-446859</v>
      </c>
      <c r="Q152" s="3">
        <f t="shared" si="174"/>
        <v>-446859</v>
      </c>
      <c r="R152" s="3">
        <f t="shared" si="174"/>
        <v>-446859</v>
      </c>
      <c r="S152" s="3">
        <f t="shared" si="174"/>
        <v>-446859</v>
      </c>
      <c r="T152" s="3">
        <f t="shared" si="174"/>
        <v>-395188</v>
      </c>
      <c r="U152" s="3">
        <f t="shared" si="173"/>
        <v>-167296</v>
      </c>
      <c r="V152" s="3">
        <f t="shared" si="173"/>
        <v>-167296</v>
      </c>
      <c r="W152" s="3">
        <f t="shared" si="173"/>
        <v>-167296</v>
      </c>
      <c r="X152" s="3">
        <f t="shared" si="173"/>
        <v>-167296</v>
      </c>
      <c r="Y152" s="3">
        <f t="shared" si="173"/>
        <v>-167296</v>
      </c>
      <c r="Z152" s="3">
        <f t="shared" si="173"/>
        <v>-167296</v>
      </c>
      <c r="AA152" s="3">
        <f t="shared" si="173"/>
        <v>-167296</v>
      </c>
      <c r="AB152" s="3">
        <f t="shared" si="173"/>
        <v>-167296</v>
      </c>
      <c r="AC152" s="3">
        <f t="shared" si="173"/>
        <v>-85245</v>
      </c>
      <c r="AD152" s="3">
        <f t="shared" si="173"/>
        <v>-59723</v>
      </c>
      <c r="AE152" s="3">
        <f t="shared" si="173"/>
        <v>-59723</v>
      </c>
      <c r="AF152" s="3">
        <f t="shared" si="173"/>
        <v>-59723</v>
      </c>
      <c r="AG152" s="3">
        <f t="shared" si="173"/>
        <v>-59723</v>
      </c>
      <c r="AH152" s="3">
        <f t="shared" si="173"/>
        <v>-59723</v>
      </c>
      <c r="AI152" s="3">
        <f t="shared" si="173"/>
        <v>-59723</v>
      </c>
      <c r="AJ152" s="3">
        <f t="shared" si="173"/>
        <v>-59723</v>
      </c>
      <c r="AK152" s="3">
        <f t="shared" si="173"/>
        <v>-59723</v>
      </c>
    </row>
    <row r="153" spans="1:37" x14ac:dyDescent="0.3">
      <c r="C153" s="25" t="s">
        <v>129</v>
      </c>
      <c r="E153" s="3">
        <f t="shared" si="174"/>
        <v>21053141</v>
      </c>
      <c r="F153" s="3">
        <f t="shared" si="173"/>
        <v>20606282</v>
      </c>
      <c r="G153" s="3">
        <f t="shared" si="173"/>
        <v>20159423</v>
      </c>
      <c r="H153" s="3">
        <f t="shared" si="173"/>
        <v>19712564</v>
      </c>
      <c r="I153" s="3">
        <f t="shared" si="173"/>
        <v>19265705</v>
      </c>
      <c r="J153" s="3">
        <f t="shared" si="173"/>
        <v>18818846</v>
      </c>
      <c r="K153" s="3">
        <f t="shared" si="173"/>
        <v>18371987</v>
      </c>
      <c r="L153" s="3">
        <f t="shared" si="173"/>
        <v>17925128</v>
      </c>
      <c r="M153" s="3">
        <f t="shared" si="173"/>
        <v>17478269</v>
      </c>
      <c r="N153" s="3">
        <f t="shared" si="173"/>
        <v>17031410</v>
      </c>
      <c r="O153" s="3">
        <f t="shared" si="173"/>
        <v>16584551</v>
      </c>
      <c r="P153" s="3">
        <f t="shared" si="173"/>
        <v>16137692</v>
      </c>
      <c r="Q153" s="3">
        <f t="shared" si="173"/>
        <v>15690833</v>
      </c>
      <c r="R153" s="3">
        <f t="shared" si="173"/>
        <v>15243974</v>
      </c>
      <c r="S153" s="3">
        <f t="shared" si="173"/>
        <v>14797115</v>
      </c>
      <c r="T153" s="3">
        <f t="shared" si="173"/>
        <v>13676992</v>
      </c>
      <c r="U153" s="3">
        <f t="shared" si="173"/>
        <v>6155968</v>
      </c>
      <c r="V153" s="3">
        <f t="shared" si="173"/>
        <v>5988672</v>
      </c>
      <c r="W153" s="3">
        <f t="shared" si="173"/>
        <v>5821376</v>
      </c>
      <c r="X153" s="3">
        <f t="shared" si="173"/>
        <v>5654080</v>
      </c>
      <c r="Y153" s="3">
        <f t="shared" si="173"/>
        <v>5486784</v>
      </c>
      <c r="Z153" s="3">
        <f t="shared" si="173"/>
        <v>5319488</v>
      </c>
      <c r="AA153" s="3">
        <f t="shared" si="173"/>
        <v>5152192</v>
      </c>
      <c r="AB153" s="3">
        <f t="shared" si="173"/>
        <v>4984896</v>
      </c>
      <c r="AC153" s="3">
        <f t="shared" si="173"/>
        <v>868875</v>
      </c>
      <c r="AD153" s="3">
        <f t="shared" si="173"/>
        <v>-52798</v>
      </c>
      <c r="AE153" s="3">
        <f t="shared" si="173"/>
        <v>-112521</v>
      </c>
      <c r="AF153" s="3">
        <f t="shared" si="173"/>
        <v>-172244</v>
      </c>
      <c r="AG153" s="3">
        <f t="shared" si="173"/>
        <v>-231967</v>
      </c>
      <c r="AH153" s="3">
        <f t="shared" si="173"/>
        <v>-291690</v>
      </c>
      <c r="AI153" s="3">
        <f t="shared" si="173"/>
        <v>-351413</v>
      </c>
      <c r="AJ153" s="3">
        <f t="shared" si="173"/>
        <v>-411136</v>
      </c>
      <c r="AK153" s="3">
        <f t="shared" si="173"/>
        <v>-470859</v>
      </c>
    </row>
    <row r="154" spans="1:37" collapsed="1" x14ac:dyDescent="0.3">
      <c r="C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idden="1" outlineLevel="1" x14ac:dyDescent="0.3">
      <c r="C155" s="1" t="s">
        <v>136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37" s="26" customFormat="1" hidden="1" outlineLevel="2" x14ac:dyDescent="0.3">
      <c r="A156" s="33"/>
      <c r="B156" s="33"/>
      <c r="C156" s="25" t="s">
        <v>127</v>
      </c>
      <c r="E156" s="29">
        <f>D158</f>
        <v>1500000</v>
      </c>
      <c r="F156" s="29">
        <f>E158</f>
        <v>1448329</v>
      </c>
      <c r="G156" s="29">
        <f t="shared" ref="G156:S156" si="175">F158</f>
        <v>1396658</v>
      </c>
      <c r="H156" s="29">
        <f t="shared" si="175"/>
        <v>1344987</v>
      </c>
      <c r="I156" s="29">
        <f t="shared" si="175"/>
        <v>1293316</v>
      </c>
      <c r="J156" s="29">
        <f t="shared" si="175"/>
        <v>1241645</v>
      </c>
      <c r="K156" s="29">
        <f t="shared" si="175"/>
        <v>1189974</v>
      </c>
      <c r="L156" s="29">
        <f t="shared" si="175"/>
        <v>1138303</v>
      </c>
      <c r="M156" s="29">
        <f t="shared" si="175"/>
        <v>1086632</v>
      </c>
      <c r="N156" s="29">
        <f t="shared" si="175"/>
        <v>1034961</v>
      </c>
      <c r="O156" s="29">
        <f t="shared" si="175"/>
        <v>983290</v>
      </c>
      <c r="P156" s="29">
        <f t="shared" si="175"/>
        <v>931619</v>
      </c>
      <c r="Q156" s="29">
        <f t="shared" si="175"/>
        <v>879948</v>
      </c>
      <c r="R156" s="29">
        <f t="shared" si="175"/>
        <v>828277</v>
      </c>
      <c r="S156" s="29">
        <f t="shared" si="175"/>
        <v>776606</v>
      </c>
      <c r="T156" s="29"/>
      <c r="U156" s="29"/>
      <c r="V156" s="29"/>
      <c r="W156" s="29"/>
      <c r="X156" s="29"/>
    </row>
    <row r="157" spans="1:37" s="26" customFormat="1" hidden="1" outlineLevel="2" x14ac:dyDescent="0.3">
      <c r="A157" s="33"/>
      <c r="B157" s="33"/>
      <c r="C157" s="25" t="s">
        <v>128</v>
      </c>
      <c r="E157" s="29">
        <f>-(61671-10000)</f>
        <v>-51671</v>
      </c>
      <c r="F157" s="29">
        <f t="shared" ref="F157:S157" si="176">-(61671-10000)</f>
        <v>-51671</v>
      </c>
      <c r="G157" s="29">
        <f t="shared" si="176"/>
        <v>-51671</v>
      </c>
      <c r="H157" s="29">
        <f t="shared" si="176"/>
        <v>-51671</v>
      </c>
      <c r="I157" s="29">
        <f t="shared" si="176"/>
        <v>-51671</v>
      </c>
      <c r="J157" s="29">
        <f t="shared" si="176"/>
        <v>-51671</v>
      </c>
      <c r="K157" s="29">
        <f t="shared" si="176"/>
        <v>-51671</v>
      </c>
      <c r="L157" s="29">
        <f t="shared" si="176"/>
        <v>-51671</v>
      </c>
      <c r="M157" s="29">
        <f t="shared" si="176"/>
        <v>-51671</v>
      </c>
      <c r="N157" s="29">
        <f t="shared" si="176"/>
        <v>-51671</v>
      </c>
      <c r="O157" s="29">
        <f t="shared" si="176"/>
        <v>-51671</v>
      </c>
      <c r="P157" s="29">
        <f t="shared" si="176"/>
        <v>-51671</v>
      </c>
      <c r="Q157" s="29">
        <f t="shared" si="176"/>
        <v>-51671</v>
      </c>
      <c r="R157" s="29">
        <f t="shared" si="176"/>
        <v>-51671</v>
      </c>
      <c r="S157" s="29">
        <f t="shared" si="176"/>
        <v>-51671</v>
      </c>
      <c r="T157" s="29"/>
      <c r="U157" s="29"/>
      <c r="V157" s="29"/>
      <c r="W157" s="29"/>
      <c r="X157" s="29"/>
    </row>
    <row r="158" spans="1:37" s="26" customFormat="1" hidden="1" outlineLevel="2" x14ac:dyDescent="0.3">
      <c r="A158" s="33"/>
      <c r="B158" s="33"/>
      <c r="C158" s="25" t="s">
        <v>129</v>
      </c>
      <c r="D158" s="29">
        <f>D68*60</f>
        <v>1500000</v>
      </c>
      <c r="E158" s="29">
        <f>E156+E157</f>
        <v>1448329</v>
      </c>
      <c r="F158" s="29">
        <f t="shared" ref="F158:S158" si="177">F156+F157</f>
        <v>1396658</v>
      </c>
      <c r="G158" s="29">
        <f t="shared" si="177"/>
        <v>1344987</v>
      </c>
      <c r="H158" s="29">
        <f t="shared" si="177"/>
        <v>1293316</v>
      </c>
      <c r="I158" s="29">
        <f t="shared" si="177"/>
        <v>1241645</v>
      </c>
      <c r="J158" s="29">
        <f t="shared" si="177"/>
        <v>1189974</v>
      </c>
      <c r="K158" s="29">
        <f t="shared" si="177"/>
        <v>1138303</v>
      </c>
      <c r="L158" s="29">
        <f t="shared" si="177"/>
        <v>1086632</v>
      </c>
      <c r="M158" s="29">
        <f t="shared" si="177"/>
        <v>1034961</v>
      </c>
      <c r="N158" s="29">
        <f t="shared" si="177"/>
        <v>983290</v>
      </c>
      <c r="O158" s="29">
        <f t="shared" si="177"/>
        <v>931619</v>
      </c>
      <c r="P158" s="29">
        <f t="shared" si="177"/>
        <v>879948</v>
      </c>
      <c r="Q158" s="29">
        <f t="shared" si="177"/>
        <v>828277</v>
      </c>
      <c r="R158" s="29">
        <f t="shared" si="177"/>
        <v>776606</v>
      </c>
      <c r="S158" s="29">
        <f t="shared" si="177"/>
        <v>724935</v>
      </c>
      <c r="T158" s="29"/>
      <c r="U158" s="29"/>
      <c r="V158" s="29"/>
      <c r="W158" s="29"/>
      <c r="X158" s="29"/>
    </row>
    <row r="159" spans="1:37" hidden="1" outlineLevel="1" x14ac:dyDescent="0.3">
      <c r="C159" s="1" t="s">
        <v>135</v>
      </c>
      <c r="E159" s="3"/>
    </row>
    <row r="160" spans="1:37" s="26" customFormat="1" hidden="1" outlineLevel="2" x14ac:dyDescent="0.3">
      <c r="A160" s="33"/>
      <c r="B160" s="33"/>
      <c r="C160" s="25" t="s">
        <v>127</v>
      </c>
      <c r="E160" s="29">
        <f>D162</f>
        <v>1500000</v>
      </c>
      <c r="F160" s="29">
        <f t="shared" ref="F160:AK160" si="178">E162</f>
        <v>1440277</v>
      </c>
      <c r="G160" s="29">
        <f t="shared" si="178"/>
        <v>1380554</v>
      </c>
      <c r="H160" s="29">
        <f t="shared" si="178"/>
        <v>1320831</v>
      </c>
      <c r="I160" s="29">
        <f t="shared" si="178"/>
        <v>1261108</v>
      </c>
      <c r="J160" s="29">
        <f t="shared" si="178"/>
        <v>1201385</v>
      </c>
      <c r="K160" s="29">
        <f t="shared" si="178"/>
        <v>1141662</v>
      </c>
      <c r="L160" s="29">
        <f t="shared" si="178"/>
        <v>1081939</v>
      </c>
      <c r="M160" s="29">
        <f t="shared" si="178"/>
        <v>1022216</v>
      </c>
      <c r="N160" s="29">
        <f t="shared" si="178"/>
        <v>962493</v>
      </c>
      <c r="O160" s="29">
        <f t="shared" si="178"/>
        <v>902770</v>
      </c>
      <c r="P160" s="29">
        <f t="shared" si="178"/>
        <v>843047</v>
      </c>
      <c r="Q160" s="29">
        <f t="shared" si="178"/>
        <v>783324</v>
      </c>
      <c r="R160" s="29">
        <f t="shared" si="178"/>
        <v>723601</v>
      </c>
      <c r="S160" s="29">
        <f t="shared" si="178"/>
        <v>663878</v>
      </c>
      <c r="T160" s="29">
        <f t="shared" si="178"/>
        <v>604155</v>
      </c>
      <c r="U160" s="29">
        <f t="shared" si="178"/>
        <v>544432</v>
      </c>
      <c r="V160" s="29">
        <f t="shared" si="178"/>
        <v>484709</v>
      </c>
      <c r="W160" s="29">
        <f t="shared" si="178"/>
        <v>424986</v>
      </c>
      <c r="X160" s="29">
        <f t="shared" si="178"/>
        <v>365263</v>
      </c>
      <c r="Y160" s="26">
        <f t="shared" si="178"/>
        <v>305540</v>
      </c>
      <c r="Z160" s="26">
        <f t="shared" si="178"/>
        <v>245817</v>
      </c>
      <c r="AA160" s="26">
        <f t="shared" si="178"/>
        <v>186094</v>
      </c>
      <c r="AB160" s="26">
        <f t="shared" si="178"/>
        <v>126371</v>
      </c>
      <c r="AC160" s="26">
        <f t="shared" si="178"/>
        <v>66648</v>
      </c>
      <c r="AD160" s="26">
        <f t="shared" si="178"/>
        <v>6925</v>
      </c>
      <c r="AE160" s="26">
        <f t="shared" si="178"/>
        <v>-52798</v>
      </c>
      <c r="AF160" s="26">
        <f t="shared" si="178"/>
        <v>-112521</v>
      </c>
      <c r="AG160" s="26">
        <f t="shared" si="178"/>
        <v>-172244</v>
      </c>
      <c r="AH160" s="26">
        <f t="shared" si="178"/>
        <v>-231967</v>
      </c>
      <c r="AI160" s="26">
        <f t="shared" si="178"/>
        <v>-291690</v>
      </c>
      <c r="AJ160" s="26">
        <f t="shared" si="178"/>
        <v>-351413</v>
      </c>
      <c r="AK160" s="26">
        <f t="shared" si="178"/>
        <v>-411136</v>
      </c>
    </row>
    <row r="161" spans="1:37" s="26" customFormat="1" hidden="1" outlineLevel="2" x14ac:dyDescent="0.3">
      <c r="A161" s="33"/>
      <c r="B161" s="33"/>
      <c r="C161" s="25" t="s">
        <v>128</v>
      </c>
      <c r="E161" s="29">
        <f>-(69723-10000)</f>
        <v>-59723</v>
      </c>
      <c r="F161" s="29">
        <f t="shared" ref="F161:AK161" si="179">-(69723-10000)</f>
        <v>-59723</v>
      </c>
      <c r="G161" s="29">
        <f t="shared" si="179"/>
        <v>-59723</v>
      </c>
      <c r="H161" s="29">
        <f t="shared" si="179"/>
        <v>-59723</v>
      </c>
      <c r="I161" s="29">
        <f t="shared" si="179"/>
        <v>-59723</v>
      </c>
      <c r="J161" s="29">
        <f t="shared" si="179"/>
        <v>-59723</v>
      </c>
      <c r="K161" s="29">
        <f t="shared" si="179"/>
        <v>-59723</v>
      </c>
      <c r="L161" s="29">
        <f t="shared" si="179"/>
        <v>-59723</v>
      </c>
      <c r="M161" s="29">
        <f t="shared" si="179"/>
        <v>-59723</v>
      </c>
      <c r="N161" s="29">
        <f t="shared" si="179"/>
        <v>-59723</v>
      </c>
      <c r="O161" s="29">
        <f t="shared" si="179"/>
        <v>-59723</v>
      </c>
      <c r="P161" s="29">
        <f t="shared" si="179"/>
        <v>-59723</v>
      </c>
      <c r="Q161" s="29">
        <f t="shared" si="179"/>
        <v>-59723</v>
      </c>
      <c r="R161" s="29">
        <f t="shared" si="179"/>
        <v>-59723</v>
      </c>
      <c r="S161" s="29">
        <f t="shared" si="179"/>
        <v>-59723</v>
      </c>
      <c r="T161" s="29">
        <f t="shared" si="179"/>
        <v>-59723</v>
      </c>
      <c r="U161" s="29">
        <f t="shared" si="179"/>
        <v>-59723</v>
      </c>
      <c r="V161" s="29">
        <f t="shared" si="179"/>
        <v>-59723</v>
      </c>
      <c r="W161" s="29">
        <f t="shared" si="179"/>
        <v>-59723</v>
      </c>
      <c r="X161" s="29">
        <f t="shared" si="179"/>
        <v>-59723</v>
      </c>
      <c r="Y161" s="26">
        <f t="shared" si="179"/>
        <v>-59723</v>
      </c>
      <c r="Z161" s="26">
        <f t="shared" si="179"/>
        <v>-59723</v>
      </c>
      <c r="AA161" s="26">
        <f t="shared" si="179"/>
        <v>-59723</v>
      </c>
      <c r="AB161" s="26">
        <f t="shared" si="179"/>
        <v>-59723</v>
      </c>
      <c r="AC161" s="26">
        <f t="shared" si="179"/>
        <v>-59723</v>
      </c>
      <c r="AD161" s="26">
        <f t="shared" si="179"/>
        <v>-59723</v>
      </c>
      <c r="AE161" s="26">
        <f t="shared" si="179"/>
        <v>-59723</v>
      </c>
      <c r="AF161" s="26">
        <f t="shared" si="179"/>
        <v>-59723</v>
      </c>
      <c r="AG161" s="26">
        <f t="shared" si="179"/>
        <v>-59723</v>
      </c>
      <c r="AH161" s="26">
        <f t="shared" si="179"/>
        <v>-59723</v>
      </c>
      <c r="AI161" s="26">
        <f t="shared" si="179"/>
        <v>-59723</v>
      </c>
      <c r="AJ161" s="26">
        <f t="shared" si="179"/>
        <v>-59723</v>
      </c>
      <c r="AK161" s="26">
        <f t="shared" si="179"/>
        <v>-59723</v>
      </c>
    </row>
    <row r="162" spans="1:37" s="26" customFormat="1" hidden="1" outlineLevel="2" x14ac:dyDescent="0.3">
      <c r="A162" s="33"/>
      <c r="B162" s="33"/>
      <c r="C162" s="25" t="s">
        <v>129</v>
      </c>
      <c r="D162" s="29">
        <f>D69*60</f>
        <v>1500000</v>
      </c>
      <c r="E162" s="29">
        <f t="shared" ref="E162" si="180">E160+E161</f>
        <v>1440277</v>
      </c>
      <c r="F162" s="29">
        <f t="shared" ref="F162" si="181">F160+F161</f>
        <v>1380554</v>
      </c>
      <c r="G162" s="29">
        <f t="shared" ref="G162" si="182">G160+G161</f>
        <v>1320831</v>
      </c>
      <c r="H162" s="29">
        <f t="shared" ref="H162" si="183">H160+H161</f>
        <v>1261108</v>
      </c>
      <c r="I162" s="29">
        <f t="shared" ref="I162" si="184">I160+I161</f>
        <v>1201385</v>
      </c>
      <c r="J162" s="29">
        <f t="shared" ref="J162" si="185">J160+J161</f>
        <v>1141662</v>
      </c>
      <c r="K162" s="29">
        <f t="shared" ref="K162" si="186">K160+K161</f>
        <v>1081939</v>
      </c>
      <c r="L162" s="29">
        <f t="shared" ref="L162" si="187">L160+L161</f>
        <v>1022216</v>
      </c>
      <c r="M162" s="29">
        <f t="shared" ref="M162" si="188">M160+M161</f>
        <v>962493</v>
      </c>
      <c r="N162" s="29">
        <f t="shared" ref="N162" si="189">N160+N161</f>
        <v>902770</v>
      </c>
      <c r="O162" s="29">
        <f t="shared" ref="O162" si="190">O160+O161</f>
        <v>843047</v>
      </c>
      <c r="P162" s="29">
        <f t="shared" ref="P162" si="191">P160+P161</f>
        <v>783324</v>
      </c>
      <c r="Q162" s="29">
        <f t="shared" ref="Q162" si="192">Q160+Q161</f>
        <v>723601</v>
      </c>
      <c r="R162" s="29">
        <f t="shared" ref="R162" si="193">R160+R161</f>
        <v>663878</v>
      </c>
      <c r="S162" s="29">
        <f t="shared" ref="S162" si="194">S160+S161</f>
        <v>604155</v>
      </c>
      <c r="T162" s="29">
        <f t="shared" ref="T162" si="195">T160+T161</f>
        <v>544432</v>
      </c>
      <c r="U162" s="29">
        <f t="shared" ref="U162" si="196">U160+U161</f>
        <v>484709</v>
      </c>
      <c r="V162" s="29">
        <f t="shared" ref="V162" si="197">V160+V161</f>
        <v>424986</v>
      </c>
      <c r="W162" s="29">
        <f t="shared" ref="W162" si="198">W160+W161</f>
        <v>365263</v>
      </c>
      <c r="X162" s="29">
        <f t="shared" ref="X162" si="199">X160+X161</f>
        <v>305540</v>
      </c>
      <c r="Y162" s="26">
        <f t="shared" ref="Y162" si="200">Y160+Y161</f>
        <v>245817</v>
      </c>
      <c r="Z162" s="26">
        <f t="shared" ref="Z162" si="201">Z160+Z161</f>
        <v>186094</v>
      </c>
      <c r="AA162" s="26">
        <f t="shared" ref="AA162" si="202">AA160+AA161</f>
        <v>126371</v>
      </c>
      <c r="AB162" s="26">
        <f t="shared" ref="AB162" si="203">AB160+AB161</f>
        <v>66648</v>
      </c>
      <c r="AC162" s="26">
        <f t="shared" ref="AC162" si="204">AC160+AC161</f>
        <v>6925</v>
      </c>
      <c r="AD162" s="26">
        <f t="shared" ref="AD162" si="205">AD160+AD161</f>
        <v>-52798</v>
      </c>
      <c r="AE162" s="26">
        <f t="shared" ref="AE162" si="206">AE160+AE161</f>
        <v>-112521</v>
      </c>
      <c r="AF162" s="26">
        <f t="shared" ref="AF162" si="207">AF160+AF161</f>
        <v>-172244</v>
      </c>
      <c r="AG162" s="26">
        <f t="shared" ref="AG162" si="208">AG160+AG161</f>
        <v>-231967</v>
      </c>
      <c r="AH162" s="26">
        <f t="shared" ref="AH162" si="209">AH160+AH161</f>
        <v>-291690</v>
      </c>
      <c r="AI162" s="26">
        <f t="shared" ref="AI162" si="210">AI160+AI161</f>
        <v>-351413</v>
      </c>
      <c r="AJ162" s="26">
        <f t="shared" ref="AJ162" si="211">AJ160+AJ161</f>
        <v>-411136</v>
      </c>
      <c r="AK162" s="26">
        <f t="shared" ref="AK162" si="212">AK160+AK161</f>
        <v>-470859</v>
      </c>
    </row>
    <row r="163" spans="1:37" hidden="1" outlineLevel="1" x14ac:dyDescent="0.3">
      <c r="C163" s="1" t="s">
        <v>134</v>
      </c>
      <c r="E163" s="3"/>
    </row>
    <row r="164" spans="1:37" s="26" customFormat="1" hidden="1" outlineLevel="2" x14ac:dyDescent="0.3">
      <c r="A164" s="33"/>
      <c r="B164" s="33"/>
      <c r="C164" s="25" t="s">
        <v>127</v>
      </c>
      <c r="E164" s="29">
        <f>D166</f>
        <v>1500000</v>
      </c>
      <c r="F164" s="29">
        <f t="shared" ref="F164:AC164" si="213">E166</f>
        <v>1474478</v>
      </c>
      <c r="G164" s="29">
        <f t="shared" si="213"/>
        <v>1448956</v>
      </c>
      <c r="H164" s="29">
        <f t="shared" si="213"/>
        <v>1423434</v>
      </c>
      <c r="I164" s="29">
        <f t="shared" si="213"/>
        <v>1397912</v>
      </c>
      <c r="J164" s="29">
        <f t="shared" si="213"/>
        <v>1372390</v>
      </c>
      <c r="K164" s="29">
        <f t="shared" si="213"/>
        <v>1346868</v>
      </c>
      <c r="L164" s="29">
        <f t="shared" si="213"/>
        <v>1321346</v>
      </c>
      <c r="M164" s="29">
        <f t="shared" si="213"/>
        <v>1295824</v>
      </c>
      <c r="N164" s="29">
        <f t="shared" si="213"/>
        <v>1270302</v>
      </c>
      <c r="O164" s="29">
        <f t="shared" si="213"/>
        <v>1244780</v>
      </c>
      <c r="P164" s="29">
        <f t="shared" si="213"/>
        <v>1219258</v>
      </c>
      <c r="Q164" s="29">
        <f t="shared" si="213"/>
        <v>1193736</v>
      </c>
      <c r="R164" s="29">
        <f t="shared" si="213"/>
        <v>1168214</v>
      </c>
      <c r="S164" s="29">
        <f t="shared" si="213"/>
        <v>1142692</v>
      </c>
      <c r="T164" s="29">
        <f t="shared" si="213"/>
        <v>1117170</v>
      </c>
      <c r="U164" s="29">
        <f t="shared" si="213"/>
        <v>1091648</v>
      </c>
      <c r="V164" s="29">
        <f t="shared" si="213"/>
        <v>1066126</v>
      </c>
      <c r="W164" s="29">
        <f t="shared" si="213"/>
        <v>1040604</v>
      </c>
      <c r="X164" s="29">
        <f t="shared" si="213"/>
        <v>1015082</v>
      </c>
      <c r="Y164" s="26">
        <f t="shared" si="213"/>
        <v>989560</v>
      </c>
      <c r="Z164" s="26">
        <f t="shared" si="213"/>
        <v>964038</v>
      </c>
      <c r="AA164" s="26">
        <f t="shared" si="213"/>
        <v>938516</v>
      </c>
      <c r="AB164" s="26">
        <f t="shared" si="213"/>
        <v>912994</v>
      </c>
      <c r="AC164" s="26">
        <f t="shared" si="213"/>
        <v>887472</v>
      </c>
    </row>
    <row r="165" spans="1:37" s="26" customFormat="1" hidden="1" outlineLevel="2" x14ac:dyDescent="0.3">
      <c r="A165" s="33"/>
      <c r="B165" s="33"/>
      <c r="C165" s="25" t="s">
        <v>128</v>
      </c>
      <c r="E165" s="29">
        <f>-(30522-5000)</f>
        <v>-25522</v>
      </c>
      <c r="F165" s="29">
        <f t="shared" ref="F165:AC165" si="214">-(30522-5000)</f>
        <v>-25522</v>
      </c>
      <c r="G165" s="29">
        <f t="shared" si="214"/>
        <v>-25522</v>
      </c>
      <c r="H165" s="29">
        <f t="shared" si="214"/>
        <v>-25522</v>
      </c>
      <c r="I165" s="29">
        <f t="shared" si="214"/>
        <v>-25522</v>
      </c>
      <c r="J165" s="29">
        <f t="shared" si="214"/>
        <v>-25522</v>
      </c>
      <c r="K165" s="29">
        <f t="shared" si="214"/>
        <v>-25522</v>
      </c>
      <c r="L165" s="29">
        <f t="shared" si="214"/>
        <v>-25522</v>
      </c>
      <c r="M165" s="29">
        <f t="shared" si="214"/>
        <v>-25522</v>
      </c>
      <c r="N165" s="29">
        <f t="shared" si="214"/>
        <v>-25522</v>
      </c>
      <c r="O165" s="29">
        <f t="shared" si="214"/>
        <v>-25522</v>
      </c>
      <c r="P165" s="29">
        <f t="shared" si="214"/>
        <v>-25522</v>
      </c>
      <c r="Q165" s="29">
        <f t="shared" si="214"/>
        <v>-25522</v>
      </c>
      <c r="R165" s="29">
        <f t="shared" si="214"/>
        <v>-25522</v>
      </c>
      <c r="S165" s="29">
        <f t="shared" si="214"/>
        <v>-25522</v>
      </c>
      <c r="T165" s="29">
        <f t="shared" si="214"/>
        <v>-25522</v>
      </c>
      <c r="U165" s="29">
        <f t="shared" si="214"/>
        <v>-25522</v>
      </c>
      <c r="V165" s="29">
        <f t="shared" si="214"/>
        <v>-25522</v>
      </c>
      <c r="W165" s="29">
        <f t="shared" si="214"/>
        <v>-25522</v>
      </c>
      <c r="X165" s="29">
        <f t="shared" si="214"/>
        <v>-25522</v>
      </c>
      <c r="Y165" s="26">
        <f t="shared" si="214"/>
        <v>-25522</v>
      </c>
      <c r="Z165" s="26">
        <f t="shared" si="214"/>
        <v>-25522</v>
      </c>
      <c r="AA165" s="26">
        <f t="shared" si="214"/>
        <v>-25522</v>
      </c>
      <c r="AB165" s="26">
        <f t="shared" si="214"/>
        <v>-25522</v>
      </c>
      <c r="AC165" s="26">
        <f t="shared" si="214"/>
        <v>-25522</v>
      </c>
    </row>
    <row r="166" spans="1:37" s="26" customFormat="1" hidden="1" outlineLevel="2" x14ac:dyDescent="0.3">
      <c r="A166" s="33"/>
      <c r="B166" s="33"/>
      <c r="C166" s="25" t="s">
        <v>129</v>
      </c>
      <c r="D166" s="29">
        <f>D70*60</f>
        <v>1500000</v>
      </c>
      <c r="E166" s="29">
        <f t="shared" ref="E166" si="215">E164+E165</f>
        <v>1474478</v>
      </c>
      <c r="F166" s="29">
        <f t="shared" ref="F166" si="216">F164+F165</f>
        <v>1448956</v>
      </c>
      <c r="G166" s="29">
        <f t="shared" ref="G166" si="217">G164+G165</f>
        <v>1423434</v>
      </c>
      <c r="H166" s="29">
        <f t="shared" ref="H166" si="218">H164+H165</f>
        <v>1397912</v>
      </c>
      <c r="I166" s="29">
        <f t="shared" ref="I166" si="219">I164+I165</f>
        <v>1372390</v>
      </c>
      <c r="J166" s="29">
        <f t="shared" ref="J166" si="220">J164+J165</f>
        <v>1346868</v>
      </c>
      <c r="K166" s="29">
        <f t="shared" ref="K166" si="221">K164+K165</f>
        <v>1321346</v>
      </c>
      <c r="L166" s="29">
        <f t="shared" ref="L166" si="222">L164+L165</f>
        <v>1295824</v>
      </c>
      <c r="M166" s="29">
        <f t="shared" ref="M166" si="223">M164+M165</f>
        <v>1270302</v>
      </c>
      <c r="N166" s="29">
        <f t="shared" ref="N166" si="224">N164+N165</f>
        <v>1244780</v>
      </c>
      <c r="O166" s="29">
        <f t="shared" ref="O166" si="225">O164+O165</f>
        <v>1219258</v>
      </c>
      <c r="P166" s="29">
        <f t="shared" ref="P166" si="226">P164+P165</f>
        <v>1193736</v>
      </c>
      <c r="Q166" s="29">
        <f t="shared" ref="Q166" si="227">Q164+Q165</f>
        <v>1168214</v>
      </c>
      <c r="R166" s="29">
        <f t="shared" ref="R166" si="228">R164+R165</f>
        <v>1142692</v>
      </c>
      <c r="S166" s="29">
        <f t="shared" ref="S166" si="229">S164+S165</f>
        <v>1117170</v>
      </c>
      <c r="T166" s="29">
        <f t="shared" ref="T166" si="230">T164+T165</f>
        <v>1091648</v>
      </c>
      <c r="U166" s="29">
        <f t="shared" ref="U166" si="231">U164+U165</f>
        <v>1066126</v>
      </c>
      <c r="V166" s="29">
        <f t="shared" ref="V166" si="232">V164+V165</f>
        <v>1040604</v>
      </c>
      <c r="W166" s="29">
        <f t="shared" ref="W166" si="233">W164+W165</f>
        <v>1015082</v>
      </c>
      <c r="X166" s="29">
        <f t="shared" ref="X166" si="234">X164+X165</f>
        <v>989560</v>
      </c>
      <c r="Y166" s="26">
        <f t="shared" ref="Y166" si="235">Y164+Y165</f>
        <v>964038</v>
      </c>
      <c r="Z166" s="26">
        <f t="shared" ref="Z166" si="236">Z164+Z165</f>
        <v>938516</v>
      </c>
      <c r="AA166" s="26">
        <f t="shared" ref="AA166" si="237">AA164+AA165</f>
        <v>912994</v>
      </c>
      <c r="AB166" s="26">
        <f t="shared" ref="AB166" si="238">AB164+AB165</f>
        <v>887472</v>
      </c>
      <c r="AC166" s="26">
        <f t="shared" ref="AC166" si="239">AC164+AC165</f>
        <v>861950</v>
      </c>
    </row>
    <row r="167" spans="1:37" hidden="1" outlineLevel="1" x14ac:dyDescent="0.3">
      <c r="C167" s="1" t="s">
        <v>133</v>
      </c>
      <c r="E167" s="3"/>
    </row>
    <row r="168" spans="1:37" s="26" customFormat="1" hidden="1" outlineLevel="2" x14ac:dyDescent="0.3">
      <c r="A168" s="33"/>
      <c r="B168" s="33"/>
      <c r="C168" s="25" t="s">
        <v>127</v>
      </c>
      <c r="E168" s="29">
        <f>D170</f>
        <v>6000000</v>
      </c>
      <c r="F168" s="29">
        <f t="shared" ref="F168:AB168" si="240">E170</f>
        <v>5917949</v>
      </c>
      <c r="G168" s="29">
        <f t="shared" si="240"/>
        <v>5835898</v>
      </c>
      <c r="H168" s="29">
        <f t="shared" si="240"/>
        <v>5753847</v>
      </c>
      <c r="I168" s="29">
        <f t="shared" si="240"/>
        <v>5671796</v>
      </c>
      <c r="J168" s="29">
        <f t="shared" si="240"/>
        <v>5589745</v>
      </c>
      <c r="K168" s="29">
        <f t="shared" si="240"/>
        <v>5507694</v>
      </c>
      <c r="L168" s="29">
        <f t="shared" si="240"/>
        <v>5425643</v>
      </c>
      <c r="M168" s="29">
        <f t="shared" si="240"/>
        <v>5343592</v>
      </c>
      <c r="N168" s="29">
        <f t="shared" si="240"/>
        <v>5261541</v>
      </c>
      <c r="O168" s="29">
        <f t="shared" si="240"/>
        <v>5179490</v>
      </c>
      <c r="P168" s="29">
        <f t="shared" si="240"/>
        <v>5097439</v>
      </c>
      <c r="Q168" s="29">
        <f t="shared" si="240"/>
        <v>5015388</v>
      </c>
      <c r="R168" s="29">
        <f t="shared" si="240"/>
        <v>4933337</v>
      </c>
      <c r="S168" s="29">
        <f t="shared" si="240"/>
        <v>4851286</v>
      </c>
      <c r="T168" s="29">
        <f t="shared" si="240"/>
        <v>4769235</v>
      </c>
      <c r="U168" s="29">
        <f t="shared" si="240"/>
        <v>4687184</v>
      </c>
      <c r="V168" s="29">
        <f t="shared" si="240"/>
        <v>4605133</v>
      </c>
      <c r="W168" s="29">
        <f t="shared" si="240"/>
        <v>4523082</v>
      </c>
      <c r="X168" s="29">
        <f t="shared" si="240"/>
        <v>4441031</v>
      </c>
      <c r="Y168" s="26">
        <f t="shared" si="240"/>
        <v>4358980</v>
      </c>
      <c r="Z168" s="26">
        <f t="shared" si="240"/>
        <v>4276929</v>
      </c>
      <c r="AA168" s="26">
        <f t="shared" si="240"/>
        <v>4194878</v>
      </c>
      <c r="AB168" s="26">
        <f t="shared" si="240"/>
        <v>4112827</v>
      </c>
    </row>
    <row r="169" spans="1:37" s="26" customFormat="1" hidden="1" outlineLevel="2" x14ac:dyDescent="0.3">
      <c r="A169" s="33"/>
      <c r="B169" s="33"/>
      <c r="C169" s="25" t="s">
        <v>128</v>
      </c>
      <c r="E169" s="29">
        <f>-(97051-15000)</f>
        <v>-82051</v>
      </c>
      <c r="F169" s="29">
        <f t="shared" ref="F169:AB169" si="241">-(97051-15000)</f>
        <v>-82051</v>
      </c>
      <c r="G169" s="29">
        <f t="shared" si="241"/>
        <v>-82051</v>
      </c>
      <c r="H169" s="29">
        <f t="shared" si="241"/>
        <v>-82051</v>
      </c>
      <c r="I169" s="29">
        <f t="shared" si="241"/>
        <v>-82051</v>
      </c>
      <c r="J169" s="29">
        <f t="shared" si="241"/>
        <v>-82051</v>
      </c>
      <c r="K169" s="29">
        <f t="shared" si="241"/>
        <v>-82051</v>
      </c>
      <c r="L169" s="29">
        <f t="shared" si="241"/>
        <v>-82051</v>
      </c>
      <c r="M169" s="29">
        <f t="shared" si="241"/>
        <v>-82051</v>
      </c>
      <c r="N169" s="29">
        <f t="shared" si="241"/>
        <v>-82051</v>
      </c>
      <c r="O169" s="29">
        <f t="shared" si="241"/>
        <v>-82051</v>
      </c>
      <c r="P169" s="29">
        <f t="shared" si="241"/>
        <v>-82051</v>
      </c>
      <c r="Q169" s="29">
        <f t="shared" si="241"/>
        <v>-82051</v>
      </c>
      <c r="R169" s="29">
        <f t="shared" si="241"/>
        <v>-82051</v>
      </c>
      <c r="S169" s="29">
        <f t="shared" si="241"/>
        <v>-82051</v>
      </c>
      <c r="T169" s="29">
        <f t="shared" si="241"/>
        <v>-82051</v>
      </c>
      <c r="U169" s="29">
        <f t="shared" si="241"/>
        <v>-82051</v>
      </c>
      <c r="V169" s="29">
        <f t="shared" si="241"/>
        <v>-82051</v>
      </c>
      <c r="W169" s="29">
        <f t="shared" si="241"/>
        <v>-82051</v>
      </c>
      <c r="X169" s="29">
        <f t="shared" si="241"/>
        <v>-82051</v>
      </c>
      <c r="Y169" s="26">
        <f t="shared" si="241"/>
        <v>-82051</v>
      </c>
      <c r="Z169" s="26">
        <f t="shared" si="241"/>
        <v>-82051</v>
      </c>
      <c r="AA169" s="26">
        <f t="shared" si="241"/>
        <v>-82051</v>
      </c>
      <c r="AB169" s="26">
        <f t="shared" si="241"/>
        <v>-82051</v>
      </c>
    </row>
    <row r="170" spans="1:37" s="26" customFormat="1" hidden="1" outlineLevel="2" x14ac:dyDescent="0.3">
      <c r="A170" s="33"/>
      <c r="B170" s="33"/>
      <c r="C170" s="25" t="s">
        <v>129</v>
      </c>
      <c r="D170" s="29">
        <f>D71*60</f>
        <v>6000000</v>
      </c>
      <c r="E170" s="29">
        <f t="shared" ref="E170" si="242">E168+E169</f>
        <v>5917949</v>
      </c>
      <c r="F170" s="29">
        <f t="shared" ref="F170" si="243">F168+F169</f>
        <v>5835898</v>
      </c>
      <c r="G170" s="29">
        <f t="shared" ref="G170" si="244">G168+G169</f>
        <v>5753847</v>
      </c>
      <c r="H170" s="29">
        <f t="shared" ref="H170" si="245">H168+H169</f>
        <v>5671796</v>
      </c>
      <c r="I170" s="29">
        <f t="shared" ref="I170" si="246">I168+I169</f>
        <v>5589745</v>
      </c>
      <c r="J170" s="29">
        <f t="shared" ref="J170" si="247">J168+J169</f>
        <v>5507694</v>
      </c>
      <c r="K170" s="29">
        <f t="shared" ref="K170" si="248">K168+K169</f>
        <v>5425643</v>
      </c>
      <c r="L170" s="29">
        <f t="shared" ref="L170" si="249">L168+L169</f>
        <v>5343592</v>
      </c>
      <c r="M170" s="29">
        <f t="shared" ref="M170" si="250">M168+M169</f>
        <v>5261541</v>
      </c>
      <c r="N170" s="29">
        <f t="shared" ref="N170" si="251">N168+N169</f>
        <v>5179490</v>
      </c>
      <c r="O170" s="29">
        <f t="shared" ref="O170" si="252">O168+O169</f>
        <v>5097439</v>
      </c>
      <c r="P170" s="29">
        <f t="shared" ref="P170" si="253">P168+P169</f>
        <v>5015388</v>
      </c>
      <c r="Q170" s="29">
        <f t="shared" ref="Q170" si="254">Q168+Q169</f>
        <v>4933337</v>
      </c>
      <c r="R170" s="29">
        <f t="shared" ref="R170" si="255">R168+R169</f>
        <v>4851286</v>
      </c>
      <c r="S170" s="29">
        <f t="shared" ref="S170" si="256">S168+S169</f>
        <v>4769235</v>
      </c>
      <c r="T170" s="29">
        <f t="shared" ref="T170" si="257">T168+T169</f>
        <v>4687184</v>
      </c>
      <c r="U170" s="29">
        <f t="shared" ref="U170" si="258">U168+U169</f>
        <v>4605133</v>
      </c>
      <c r="V170" s="29">
        <f t="shared" ref="V170" si="259">V168+V169</f>
        <v>4523082</v>
      </c>
      <c r="W170" s="29">
        <f t="shared" ref="W170" si="260">W168+W169</f>
        <v>4441031</v>
      </c>
      <c r="X170" s="29">
        <f t="shared" ref="X170" si="261">X168+X169</f>
        <v>4358980</v>
      </c>
      <c r="Y170" s="26">
        <f t="shared" ref="Y170" si="262">Y168+Y169</f>
        <v>4276929</v>
      </c>
      <c r="Z170" s="26">
        <f t="shared" ref="Z170" si="263">Z168+Z169</f>
        <v>4194878</v>
      </c>
      <c r="AA170" s="26">
        <f t="shared" ref="AA170" si="264">AA168+AA169</f>
        <v>4112827</v>
      </c>
      <c r="AB170" s="26">
        <f t="shared" ref="AB170" si="265">AB168+AB169</f>
        <v>4030776</v>
      </c>
    </row>
    <row r="171" spans="1:37" hidden="1" outlineLevel="1" x14ac:dyDescent="0.3">
      <c r="C171" s="1" t="s">
        <v>132</v>
      </c>
      <c r="E171" s="3"/>
    </row>
    <row r="172" spans="1:37" s="26" customFormat="1" hidden="1" outlineLevel="2" x14ac:dyDescent="0.3">
      <c r="A172" s="33"/>
      <c r="B172" s="33"/>
      <c r="C172" s="25" t="s">
        <v>127</v>
      </c>
      <c r="E172" s="29">
        <f>D174</f>
        <v>6000000</v>
      </c>
      <c r="F172" s="29">
        <f t="shared" ref="F172:T172" si="266">E174</f>
        <v>5915019</v>
      </c>
      <c r="G172" s="29">
        <f t="shared" si="266"/>
        <v>5830038</v>
      </c>
      <c r="H172" s="29">
        <f t="shared" si="266"/>
        <v>5745057</v>
      </c>
      <c r="I172" s="29">
        <f t="shared" si="266"/>
        <v>5660076</v>
      </c>
      <c r="J172" s="29">
        <f t="shared" si="266"/>
        <v>5575095</v>
      </c>
      <c r="K172" s="29">
        <f t="shared" si="266"/>
        <v>5490114</v>
      </c>
      <c r="L172" s="29">
        <f t="shared" si="266"/>
        <v>5405133</v>
      </c>
      <c r="M172" s="29">
        <f t="shared" si="266"/>
        <v>5320152</v>
      </c>
      <c r="N172" s="29">
        <f t="shared" si="266"/>
        <v>5235171</v>
      </c>
      <c r="O172" s="29">
        <f t="shared" si="266"/>
        <v>5150190</v>
      </c>
      <c r="P172" s="29">
        <f t="shared" si="266"/>
        <v>5065209</v>
      </c>
      <c r="Q172" s="29">
        <f t="shared" si="266"/>
        <v>4980228</v>
      </c>
      <c r="R172" s="29">
        <f t="shared" si="266"/>
        <v>4895247</v>
      </c>
      <c r="S172" s="29">
        <f t="shared" si="266"/>
        <v>4810266</v>
      </c>
      <c r="T172" s="29">
        <f t="shared" si="266"/>
        <v>4725285</v>
      </c>
      <c r="U172" s="29"/>
      <c r="V172" s="29"/>
      <c r="W172" s="29"/>
      <c r="X172" s="29"/>
    </row>
    <row r="173" spans="1:37" s="26" customFormat="1" hidden="1" outlineLevel="2" x14ac:dyDescent="0.3">
      <c r="A173" s="33"/>
      <c r="B173" s="33"/>
      <c r="C173" s="25" t="s">
        <v>128</v>
      </c>
      <c r="E173" s="29">
        <f>-(104981-20000)</f>
        <v>-84981</v>
      </c>
      <c r="F173" s="29">
        <f t="shared" ref="F173:T173" si="267">-(104981-20000)</f>
        <v>-84981</v>
      </c>
      <c r="G173" s="29">
        <f t="shared" si="267"/>
        <v>-84981</v>
      </c>
      <c r="H173" s="29">
        <f t="shared" si="267"/>
        <v>-84981</v>
      </c>
      <c r="I173" s="29">
        <f t="shared" si="267"/>
        <v>-84981</v>
      </c>
      <c r="J173" s="29">
        <f t="shared" si="267"/>
        <v>-84981</v>
      </c>
      <c r="K173" s="29">
        <f t="shared" si="267"/>
        <v>-84981</v>
      </c>
      <c r="L173" s="29">
        <f t="shared" si="267"/>
        <v>-84981</v>
      </c>
      <c r="M173" s="29">
        <f t="shared" si="267"/>
        <v>-84981</v>
      </c>
      <c r="N173" s="29">
        <f t="shared" si="267"/>
        <v>-84981</v>
      </c>
      <c r="O173" s="29">
        <f t="shared" si="267"/>
        <v>-84981</v>
      </c>
      <c r="P173" s="29">
        <f t="shared" si="267"/>
        <v>-84981</v>
      </c>
      <c r="Q173" s="29">
        <f t="shared" si="267"/>
        <v>-84981</v>
      </c>
      <c r="R173" s="29">
        <f t="shared" si="267"/>
        <v>-84981</v>
      </c>
      <c r="S173" s="29">
        <f t="shared" si="267"/>
        <v>-84981</v>
      </c>
      <c r="T173" s="29">
        <f t="shared" si="267"/>
        <v>-84981</v>
      </c>
      <c r="U173" s="29"/>
      <c r="V173" s="29"/>
      <c r="W173" s="29"/>
      <c r="X173" s="29"/>
    </row>
    <row r="174" spans="1:37" s="26" customFormat="1" hidden="1" outlineLevel="2" x14ac:dyDescent="0.3">
      <c r="A174" s="33"/>
      <c r="B174" s="33"/>
      <c r="C174" s="25" t="s">
        <v>129</v>
      </c>
      <c r="D174" s="29">
        <f>D72*60</f>
        <v>6000000</v>
      </c>
      <c r="E174" s="29">
        <f t="shared" ref="E174" si="268">E172+E173</f>
        <v>5915019</v>
      </c>
      <c r="F174" s="29">
        <f t="shared" ref="F174" si="269">F172+F173</f>
        <v>5830038</v>
      </c>
      <c r="G174" s="29">
        <f t="shared" ref="G174" si="270">G172+G173</f>
        <v>5745057</v>
      </c>
      <c r="H174" s="29">
        <f t="shared" ref="H174" si="271">H172+H173</f>
        <v>5660076</v>
      </c>
      <c r="I174" s="29">
        <f t="shared" ref="I174" si="272">I172+I173</f>
        <v>5575095</v>
      </c>
      <c r="J174" s="29">
        <f t="shared" ref="J174" si="273">J172+J173</f>
        <v>5490114</v>
      </c>
      <c r="K174" s="29">
        <f t="shared" ref="K174" si="274">K172+K173</f>
        <v>5405133</v>
      </c>
      <c r="L174" s="29">
        <f t="shared" ref="L174" si="275">L172+L173</f>
        <v>5320152</v>
      </c>
      <c r="M174" s="29">
        <f t="shared" ref="M174" si="276">M172+M173</f>
        <v>5235171</v>
      </c>
      <c r="N174" s="29">
        <f t="shared" ref="N174" si="277">N172+N173</f>
        <v>5150190</v>
      </c>
      <c r="O174" s="29">
        <f t="shared" ref="O174" si="278">O172+O173</f>
        <v>5065209</v>
      </c>
      <c r="P174" s="29">
        <f t="shared" ref="P174" si="279">P172+P173</f>
        <v>4980228</v>
      </c>
      <c r="Q174" s="29">
        <f t="shared" ref="Q174" si="280">Q172+Q173</f>
        <v>4895247</v>
      </c>
      <c r="R174" s="29">
        <f t="shared" ref="R174" si="281">R172+R173</f>
        <v>4810266</v>
      </c>
      <c r="S174" s="29">
        <f t="shared" ref="S174" si="282">S172+S173</f>
        <v>4725285</v>
      </c>
      <c r="T174" s="29">
        <f t="shared" ref="T174" si="283">T172+T173</f>
        <v>4640304</v>
      </c>
      <c r="U174" s="29"/>
      <c r="V174" s="29"/>
      <c r="W174" s="29"/>
      <c r="X174" s="29"/>
    </row>
    <row r="175" spans="1:37" hidden="1" outlineLevel="1" x14ac:dyDescent="0.3">
      <c r="C175" s="1" t="s">
        <v>131</v>
      </c>
      <c r="E175" s="3"/>
    </row>
    <row r="176" spans="1:37" s="26" customFormat="1" hidden="1" outlineLevel="2" x14ac:dyDescent="0.3">
      <c r="A176" s="33"/>
      <c r="B176" s="33"/>
      <c r="C176" s="25" t="s">
        <v>127</v>
      </c>
      <c r="E176" s="29">
        <f>D178</f>
        <v>3000000</v>
      </c>
      <c r="F176" s="29">
        <f t="shared" ref="F176:T176" si="284">E178</f>
        <v>2918984</v>
      </c>
      <c r="G176" s="29">
        <f t="shared" si="284"/>
        <v>2837968</v>
      </c>
      <c r="H176" s="29">
        <f t="shared" si="284"/>
        <v>2756952</v>
      </c>
      <c r="I176" s="29">
        <f t="shared" si="284"/>
        <v>2675936</v>
      </c>
      <c r="J176" s="29">
        <f t="shared" si="284"/>
        <v>2594920</v>
      </c>
      <c r="K176" s="29">
        <f t="shared" si="284"/>
        <v>2513904</v>
      </c>
      <c r="L176" s="29">
        <f t="shared" si="284"/>
        <v>2432888</v>
      </c>
      <c r="M176" s="29">
        <f t="shared" si="284"/>
        <v>2351872</v>
      </c>
      <c r="N176" s="29">
        <f t="shared" si="284"/>
        <v>2270856</v>
      </c>
      <c r="O176" s="29">
        <f t="shared" si="284"/>
        <v>2189840</v>
      </c>
      <c r="P176" s="29">
        <f t="shared" si="284"/>
        <v>2108824</v>
      </c>
      <c r="Q176" s="29">
        <f t="shared" si="284"/>
        <v>2027808</v>
      </c>
      <c r="R176" s="29">
        <f t="shared" si="284"/>
        <v>1946792</v>
      </c>
      <c r="S176" s="29">
        <f t="shared" si="284"/>
        <v>1865776</v>
      </c>
      <c r="T176" s="29">
        <f t="shared" si="284"/>
        <v>1784760</v>
      </c>
      <c r="U176" s="29"/>
      <c r="V176" s="29"/>
      <c r="W176" s="29"/>
      <c r="X176" s="29"/>
    </row>
    <row r="177" spans="1:24" s="26" customFormat="1" hidden="1" outlineLevel="2" x14ac:dyDescent="0.3">
      <c r="A177" s="33"/>
      <c r="B177" s="33"/>
      <c r="C177" s="25" t="s">
        <v>128</v>
      </c>
      <c r="E177" s="29">
        <f>-(101016-20000)</f>
        <v>-81016</v>
      </c>
      <c r="F177" s="29">
        <f t="shared" ref="F177:T177" si="285">-(101016-20000)</f>
        <v>-81016</v>
      </c>
      <c r="G177" s="29">
        <f t="shared" si="285"/>
        <v>-81016</v>
      </c>
      <c r="H177" s="29">
        <f t="shared" si="285"/>
        <v>-81016</v>
      </c>
      <c r="I177" s="29">
        <f t="shared" si="285"/>
        <v>-81016</v>
      </c>
      <c r="J177" s="29">
        <f t="shared" si="285"/>
        <v>-81016</v>
      </c>
      <c r="K177" s="29">
        <f t="shared" si="285"/>
        <v>-81016</v>
      </c>
      <c r="L177" s="29">
        <f t="shared" si="285"/>
        <v>-81016</v>
      </c>
      <c r="M177" s="29">
        <f t="shared" si="285"/>
        <v>-81016</v>
      </c>
      <c r="N177" s="29">
        <f t="shared" si="285"/>
        <v>-81016</v>
      </c>
      <c r="O177" s="29">
        <f t="shared" si="285"/>
        <v>-81016</v>
      </c>
      <c r="P177" s="29">
        <f t="shared" si="285"/>
        <v>-81016</v>
      </c>
      <c r="Q177" s="29">
        <f t="shared" si="285"/>
        <v>-81016</v>
      </c>
      <c r="R177" s="29">
        <f t="shared" si="285"/>
        <v>-81016</v>
      </c>
      <c r="S177" s="29">
        <f t="shared" si="285"/>
        <v>-81016</v>
      </c>
      <c r="T177" s="29">
        <f t="shared" si="285"/>
        <v>-81016</v>
      </c>
      <c r="U177" s="29"/>
      <c r="V177" s="29"/>
      <c r="W177" s="29"/>
      <c r="X177" s="29"/>
    </row>
    <row r="178" spans="1:24" s="26" customFormat="1" hidden="1" outlineLevel="2" x14ac:dyDescent="0.3">
      <c r="A178" s="33"/>
      <c r="B178" s="33"/>
      <c r="C178" s="25" t="s">
        <v>129</v>
      </c>
      <c r="D178" s="29">
        <f>D73*60</f>
        <v>3000000</v>
      </c>
      <c r="E178" s="29">
        <f t="shared" ref="E178" si="286">E176+E177</f>
        <v>2918984</v>
      </c>
      <c r="F178" s="29">
        <f t="shared" ref="F178" si="287">F176+F177</f>
        <v>2837968</v>
      </c>
      <c r="G178" s="29">
        <f t="shared" ref="G178" si="288">G176+G177</f>
        <v>2756952</v>
      </c>
      <c r="H178" s="29">
        <f t="shared" ref="H178" si="289">H176+H177</f>
        <v>2675936</v>
      </c>
      <c r="I178" s="29">
        <f t="shared" ref="I178" si="290">I176+I177</f>
        <v>2594920</v>
      </c>
      <c r="J178" s="29">
        <f t="shared" ref="J178" si="291">J176+J177</f>
        <v>2513904</v>
      </c>
      <c r="K178" s="29">
        <f t="shared" ref="K178" si="292">K176+K177</f>
        <v>2432888</v>
      </c>
      <c r="L178" s="29">
        <f t="shared" ref="L178" si="293">L176+L177</f>
        <v>2351872</v>
      </c>
      <c r="M178" s="29">
        <f t="shared" ref="M178" si="294">M176+M177</f>
        <v>2270856</v>
      </c>
      <c r="N178" s="29">
        <f t="shared" ref="N178" si="295">N176+N177</f>
        <v>2189840</v>
      </c>
      <c r="O178" s="29">
        <f t="shared" ref="O178" si="296">O176+O177</f>
        <v>2108824</v>
      </c>
      <c r="P178" s="29">
        <f t="shared" ref="P178" si="297">P176+P177</f>
        <v>2027808</v>
      </c>
      <c r="Q178" s="29">
        <f t="shared" ref="Q178" si="298">Q176+Q177</f>
        <v>1946792</v>
      </c>
      <c r="R178" s="29">
        <f t="shared" ref="R178" si="299">R176+R177</f>
        <v>1865776</v>
      </c>
      <c r="S178" s="29">
        <f t="shared" ref="S178" si="300">S176+S177</f>
        <v>1784760</v>
      </c>
      <c r="T178" s="29">
        <f t="shared" ref="T178" si="301">T176+T177</f>
        <v>1703744</v>
      </c>
      <c r="U178" s="29"/>
      <c r="V178" s="29"/>
      <c r="W178" s="29"/>
      <c r="X178" s="29"/>
    </row>
    <row r="179" spans="1:24" hidden="1" outlineLevel="1" x14ac:dyDescent="0.3">
      <c r="C179" s="1" t="s">
        <v>130</v>
      </c>
      <c r="E179" s="3"/>
    </row>
    <row r="180" spans="1:24" s="26" customFormat="1" hidden="1" outlineLevel="2" x14ac:dyDescent="0.3">
      <c r="A180" s="33"/>
      <c r="B180" s="33"/>
      <c r="C180" s="25" t="s">
        <v>127</v>
      </c>
      <c r="E180" s="29">
        <f>D182</f>
        <v>2000000.0000000002</v>
      </c>
      <c r="F180" s="29">
        <f t="shared" ref="F180:T180" si="302">E182</f>
        <v>1938105.0000000002</v>
      </c>
      <c r="G180" s="29">
        <f t="shared" si="302"/>
        <v>1876210.0000000002</v>
      </c>
      <c r="H180" s="29">
        <f t="shared" si="302"/>
        <v>1814315.0000000002</v>
      </c>
      <c r="I180" s="29">
        <f t="shared" si="302"/>
        <v>1752420.0000000002</v>
      </c>
      <c r="J180" s="29">
        <f t="shared" si="302"/>
        <v>1690525.0000000002</v>
      </c>
      <c r="K180" s="29">
        <f t="shared" si="302"/>
        <v>1628630.0000000002</v>
      </c>
      <c r="L180" s="29">
        <f t="shared" si="302"/>
        <v>1566735.0000000002</v>
      </c>
      <c r="M180" s="29">
        <f t="shared" si="302"/>
        <v>1504840.0000000002</v>
      </c>
      <c r="N180" s="29">
        <f t="shared" si="302"/>
        <v>1442945.0000000002</v>
      </c>
      <c r="O180" s="29">
        <f t="shared" si="302"/>
        <v>1381050.0000000002</v>
      </c>
      <c r="P180" s="29">
        <f t="shared" si="302"/>
        <v>1319155.0000000002</v>
      </c>
      <c r="Q180" s="29">
        <f t="shared" si="302"/>
        <v>1257260.0000000002</v>
      </c>
      <c r="R180" s="29">
        <f t="shared" si="302"/>
        <v>1195365.0000000002</v>
      </c>
      <c r="S180" s="29">
        <f t="shared" si="302"/>
        <v>1133470.0000000002</v>
      </c>
      <c r="T180" s="29">
        <f t="shared" si="302"/>
        <v>1071575.0000000002</v>
      </c>
      <c r="U180" s="29"/>
      <c r="V180" s="29"/>
      <c r="W180" s="29"/>
      <c r="X180" s="29"/>
    </row>
    <row r="181" spans="1:24" s="26" customFormat="1" hidden="1" outlineLevel="2" x14ac:dyDescent="0.3">
      <c r="A181" s="33"/>
      <c r="B181" s="33"/>
      <c r="C181" s="25" t="s">
        <v>128</v>
      </c>
      <c r="E181" s="29">
        <f>-(72895-11000)</f>
        <v>-61895</v>
      </c>
      <c r="F181" s="29">
        <f t="shared" ref="F181:T181" si="303">-(72895-11000)</f>
        <v>-61895</v>
      </c>
      <c r="G181" s="29">
        <f t="shared" si="303"/>
        <v>-61895</v>
      </c>
      <c r="H181" s="29">
        <f t="shared" si="303"/>
        <v>-61895</v>
      </c>
      <c r="I181" s="29">
        <f t="shared" si="303"/>
        <v>-61895</v>
      </c>
      <c r="J181" s="29">
        <f t="shared" si="303"/>
        <v>-61895</v>
      </c>
      <c r="K181" s="29">
        <f t="shared" si="303"/>
        <v>-61895</v>
      </c>
      <c r="L181" s="29">
        <f t="shared" si="303"/>
        <v>-61895</v>
      </c>
      <c r="M181" s="29">
        <f t="shared" si="303"/>
        <v>-61895</v>
      </c>
      <c r="N181" s="29">
        <f t="shared" si="303"/>
        <v>-61895</v>
      </c>
      <c r="O181" s="29">
        <f t="shared" si="303"/>
        <v>-61895</v>
      </c>
      <c r="P181" s="29">
        <f t="shared" si="303"/>
        <v>-61895</v>
      </c>
      <c r="Q181" s="29">
        <f t="shared" si="303"/>
        <v>-61895</v>
      </c>
      <c r="R181" s="29">
        <f t="shared" si="303"/>
        <v>-61895</v>
      </c>
      <c r="S181" s="29">
        <f t="shared" si="303"/>
        <v>-61895</v>
      </c>
      <c r="T181" s="29">
        <f t="shared" si="303"/>
        <v>-61895</v>
      </c>
      <c r="U181" s="29"/>
      <c r="V181" s="29"/>
      <c r="W181" s="29"/>
      <c r="X181" s="29"/>
    </row>
    <row r="182" spans="1:24" s="26" customFormat="1" hidden="1" outlineLevel="2" x14ac:dyDescent="0.3">
      <c r="A182" s="33"/>
      <c r="B182" s="33"/>
      <c r="C182" s="25" t="s">
        <v>129</v>
      </c>
      <c r="D182" s="29">
        <f>D74*60</f>
        <v>2000000.0000000002</v>
      </c>
      <c r="E182" s="29">
        <f t="shared" ref="E182" si="304">E180+E181</f>
        <v>1938105.0000000002</v>
      </c>
      <c r="F182" s="29">
        <f t="shared" ref="F182" si="305">F180+F181</f>
        <v>1876210.0000000002</v>
      </c>
      <c r="G182" s="29">
        <f t="shared" ref="G182" si="306">G180+G181</f>
        <v>1814315.0000000002</v>
      </c>
      <c r="H182" s="29">
        <f t="shared" ref="H182" si="307">H180+H181</f>
        <v>1752420.0000000002</v>
      </c>
      <c r="I182" s="29">
        <f t="shared" ref="I182" si="308">I180+I181</f>
        <v>1690525.0000000002</v>
      </c>
      <c r="J182" s="29">
        <f t="shared" ref="J182" si="309">J180+J181</f>
        <v>1628630.0000000002</v>
      </c>
      <c r="K182" s="29">
        <f t="shared" ref="K182" si="310">K180+K181</f>
        <v>1566735.0000000002</v>
      </c>
      <c r="L182" s="29">
        <f t="shared" ref="L182" si="311">L180+L181</f>
        <v>1504840.0000000002</v>
      </c>
      <c r="M182" s="29">
        <f t="shared" ref="M182" si="312">M180+M181</f>
        <v>1442945.0000000002</v>
      </c>
      <c r="N182" s="29">
        <f t="shared" ref="N182" si="313">N180+N181</f>
        <v>1381050.0000000002</v>
      </c>
      <c r="O182" s="29">
        <f t="shared" ref="O182" si="314">O180+O181</f>
        <v>1319155.0000000002</v>
      </c>
      <c r="P182" s="29">
        <f t="shared" ref="P182" si="315">P180+P181</f>
        <v>1257260.0000000002</v>
      </c>
      <c r="Q182" s="29">
        <f t="shared" ref="Q182" si="316">Q180+Q181</f>
        <v>1195365.0000000002</v>
      </c>
      <c r="R182" s="29">
        <f t="shared" ref="R182" si="317">R180+R181</f>
        <v>1133470.0000000002</v>
      </c>
      <c r="S182" s="29">
        <f t="shared" ref="S182" si="318">S180+S181</f>
        <v>1071575.0000000002</v>
      </c>
      <c r="T182" s="29">
        <f t="shared" ref="T182" si="319">T180+T181</f>
        <v>1009680.0000000002</v>
      </c>
      <c r="U182" s="29"/>
      <c r="V182" s="29"/>
      <c r="W182" s="29"/>
      <c r="X182" s="29"/>
    </row>
    <row r="183" spans="1:24" hidden="1" outlineLevel="1" x14ac:dyDescent="0.3">
      <c r="C183" s="1"/>
    </row>
    <row r="184" spans="1:24" hidden="1" outlineLevel="2" x14ac:dyDescent="0.3">
      <c r="C184" s="14"/>
    </row>
    <row r="185" spans="1:24" hidden="1" outlineLevel="2" x14ac:dyDescent="0.3">
      <c r="C185" s="1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24" hidden="1" outlineLevel="2" x14ac:dyDescent="0.3">
      <c r="C186" s="14"/>
    </row>
    <row r="187" spans="1:24" hidden="1" outlineLevel="1" x14ac:dyDescent="0.3"/>
    <row r="188" spans="1:24" x14ac:dyDescent="0.3">
      <c r="B188" s="33" t="s">
        <v>190</v>
      </c>
      <c r="C188" s="1" t="s">
        <v>137</v>
      </c>
      <c r="D188" s="8">
        <v>0</v>
      </c>
      <c r="E188" s="3">
        <f>E105*D188</f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24" s="26" customFormat="1" x14ac:dyDescent="0.3">
      <c r="A189" s="33"/>
      <c r="B189" s="33"/>
      <c r="C189" s="25" t="s">
        <v>138</v>
      </c>
      <c r="E189" s="26">
        <f>E188+D189</f>
        <v>0</v>
      </c>
      <c r="F189" s="26">
        <f t="shared" ref="F189:M189" si="320">F188+E189</f>
        <v>0</v>
      </c>
      <c r="G189" s="26">
        <f t="shared" si="320"/>
        <v>0</v>
      </c>
      <c r="H189" s="26">
        <f t="shared" si="320"/>
        <v>0</v>
      </c>
      <c r="I189" s="26">
        <f t="shared" si="320"/>
        <v>0</v>
      </c>
      <c r="J189" s="26">
        <f t="shared" si="320"/>
        <v>0</v>
      </c>
      <c r="K189" s="26">
        <f t="shared" si="320"/>
        <v>0</v>
      </c>
      <c r="L189" s="26">
        <f t="shared" si="320"/>
        <v>0</v>
      </c>
      <c r="M189" s="26">
        <f t="shared" si="320"/>
        <v>0</v>
      </c>
    </row>
    <row r="191" spans="1:24" x14ac:dyDescent="0.3">
      <c r="C191" s="2" t="s">
        <v>139</v>
      </c>
      <c r="E191" s="4">
        <f>SUMIFS(E$192:E$195,$B$192:$B$195,"s")</f>
        <v>0</v>
      </c>
      <c r="F191" s="4">
        <f t="shared" ref="F191:N191" si="321">SUMIFS(F$192:F$195,$B$192:$B$195,"s")</f>
        <v>0</v>
      </c>
      <c r="G191" s="4">
        <f t="shared" si="321"/>
        <v>0</v>
      </c>
      <c r="H191" s="4">
        <f t="shared" si="321"/>
        <v>0</v>
      </c>
      <c r="I191" s="4">
        <f t="shared" si="321"/>
        <v>0</v>
      </c>
      <c r="J191" s="4">
        <f t="shared" si="321"/>
        <v>0</v>
      </c>
      <c r="K191" s="4">
        <f t="shared" si="321"/>
        <v>0</v>
      </c>
      <c r="L191" s="4">
        <f t="shared" si="321"/>
        <v>0</v>
      </c>
      <c r="M191" s="4">
        <f t="shared" si="321"/>
        <v>0</v>
      </c>
      <c r="N191" s="4">
        <f t="shared" si="321"/>
        <v>0</v>
      </c>
    </row>
    <row r="192" spans="1:24" x14ac:dyDescent="0.3">
      <c r="B192" s="33" t="s">
        <v>190</v>
      </c>
      <c r="C192" s="1" t="s">
        <v>140</v>
      </c>
    </row>
    <row r="193" spans="2:26" x14ac:dyDescent="0.3">
      <c r="C193" s="1"/>
    </row>
    <row r="194" spans="2:26" x14ac:dyDescent="0.3">
      <c r="B194" s="33" t="s">
        <v>190</v>
      </c>
      <c r="C194" s="1" t="s">
        <v>141</v>
      </c>
    </row>
    <row r="196" spans="2:26" x14ac:dyDescent="0.3">
      <c r="C196" s="24" t="s">
        <v>142</v>
      </c>
      <c r="D196" s="30">
        <f>SUMIFS($D$201:$D$242,$C$201:$C$242,$C196)</f>
        <v>358333.33333333331</v>
      </c>
      <c r="E196" s="30">
        <f t="shared" ref="E196:Z196" si="322">SUMIFS(E$201:E$242,$C$201:$C$242,$C196)</f>
        <v>-358333.33333333331</v>
      </c>
      <c r="F196" s="30">
        <f t="shared" si="322"/>
        <v>-358333.33333333331</v>
      </c>
      <c r="G196" s="30">
        <f t="shared" si="322"/>
        <v>-358333.33333333331</v>
      </c>
      <c r="H196" s="30">
        <f t="shared" si="322"/>
        <v>-358333.33333333331</v>
      </c>
      <c r="I196" s="30">
        <f t="shared" si="322"/>
        <v>-358333.33333333331</v>
      </c>
      <c r="J196" s="30">
        <f t="shared" si="322"/>
        <v>-358333.33333333331</v>
      </c>
      <c r="K196" s="30">
        <f t="shared" si="322"/>
        <v>-358333.33333333331</v>
      </c>
      <c r="L196" s="30">
        <f t="shared" si="322"/>
        <v>-358333.33333333331</v>
      </c>
      <c r="M196" s="30">
        <f t="shared" si="322"/>
        <v>-358333.33333333331</v>
      </c>
      <c r="N196" s="30">
        <f t="shared" si="322"/>
        <v>-358333.33333333331</v>
      </c>
      <c r="O196" s="30">
        <f t="shared" si="322"/>
        <v>-358333.33333333331</v>
      </c>
      <c r="P196" s="30">
        <f t="shared" si="322"/>
        <v>-358333.33333333331</v>
      </c>
      <c r="Q196" s="30">
        <f t="shared" si="322"/>
        <v>-358333.33333333331</v>
      </c>
      <c r="R196" s="30">
        <f t="shared" si="322"/>
        <v>-358333.33333333331</v>
      </c>
      <c r="S196" s="30">
        <f t="shared" si="322"/>
        <v>-358333.33333333331</v>
      </c>
      <c r="T196" s="30">
        <f t="shared" si="322"/>
        <v>-358333.33333333331</v>
      </c>
      <c r="U196" s="30">
        <f t="shared" si="322"/>
        <v>-358333.33333333331</v>
      </c>
      <c r="V196" s="30">
        <f t="shared" si="322"/>
        <v>-358333.33333333331</v>
      </c>
      <c r="W196" s="30">
        <f t="shared" si="322"/>
        <v>-358333.33333333331</v>
      </c>
      <c r="X196" s="30">
        <f t="shared" si="322"/>
        <v>-358333.33333333331</v>
      </c>
      <c r="Y196" s="30">
        <f t="shared" si="322"/>
        <v>-358333.33333333331</v>
      </c>
      <c r="Z196" s="30">
        <f t="shared" si="322"/>
        <v>-358333.33333333331</v>
      </c>
    </row>
    <row r="197" spans="2:26" x14ac:dyDescent="0.3">
      <c r="C197" s="24" t="s">
        <v>143</v>
      </c>
      <c r="D197" s="30">
        <f>SUMIFS(D$201:D$242,$C$201:$C$242,$C197)</f>
        <v>0</v>
      </c>
      <c r="E197" s="30">
        <f t="shared" ref="E197:Z198" si="323">SUMIFS(E$201:E$242,$C$201:$C$242,$C197)</f>
        <v>21500000</v>
      </c>
      <c r="F197" s="30">
        <f t="shared" si="323"/>
        <v>21141666.666666668</v>
      </c>
      <c r="G197" s="30">
        <f t="shared" si="323"/>
        <v>19333333.333333332</v>
      </c>
      <c r="H197" s="30">
        <f t="shared" si="323"/>
        <v>19000000</v>
      </c>
      <c r="I197" s="30">
        <f t="shared" si="323"/>
        <v>18666666.666666668</v>
      </c>
      <c r="J197" s="30">
        <f t="shared" si="323"/>
        <v>18333333.333333336</v>
      </c>
      <c r="K197" s="30">
        <f t="shared" si="323"/>
        <v>18000000</v>
      </c>
      <c r="L197" s="30">
        <f t="shared" si="323"/>
        <v>17666666.666666668</v>
      </c>
      <c r="M197" s="30">
        <f t="shared" si="323"/>
        <v>17333333.333333336</v>
      </c>
      <c r="N197" s="30">
        <f t="shared" si="323"/>
        <v>17000000</v>
      </c>
      <c r="O197" s="30">
        <f t="shared" si="323"/>
        <v>16666666.666666668</v>
      </c>
      <c r="P197" s="30">
        <f t="shared" si="323"/>
        <v>16333333.333333334</v>
      </c>
      <c r="Q197" s="30">
        <f t="shared" si="323"/>
        <v>16000000.000000002</v>
      </c>
      <c r="R197" s="30">
        <f t="shared" si="323"/>
        <v>15666666.666666668</v>
      </c>
      <c r="S197" s="30">
        <f t="shared" si="323"/>
        <v>15333333.333333334</v>
      </c>
      <c r="T197" s="30">
        <f t="shared" si="323"/>
        <v>15000000.000000002</v>
      </c>
      <c r="U197" s="30">
        <f t="shared" si="323"/>
        <v>14666666.666666668</v>
      </c>
      <c r="V197" s="30">
        <f t="shared" si="323"/>
        <v>14333333.333333336</v>
      </c>
      <c r="W197" s="30">
        <f t="shared" si="323"/>
        <v>14000000.000000002</v>
      </c>
      <c r="X197" s="30">
        <f t="shared" si="323"/>
        <v>13666666.666666668</v>
      </c>
      <c r="Y197" s="30">
        <f t="shared" si="323"/>
        <v>13333333.333333336</v>
      </c>
      <c r="Z197" s="30">
        <f t="shared" si="323"/>
        <v>13000000.000000002</v>
      </c>
    </row>
    <row r="198" spans="2:26" x14ac:dyDescent="0.3">
      <c r="C198" s="24" t="s">
        <v>144</v>
      </c>
      <c r="D198" s="30">
        <f>SUMIFS($D$201:$D$242,$C$201:$C$242,$C198)</f>
        <v>21500000</v>
      </c>
      <c r="E198" s="30">
        <f t="shared" si="323"/>
        <v>21141666.666666668</v>
      </c>
      <c r="F198" s="30">
        <f t="shared" si="323"/>
        <v>19333333.333333332</v>
      </c>
      <c r="G198" s="30">
        <f t="shared" si="323"/>
        <v>19000000</v>
      </c>
      <c r="H198" s="30">
        <f t="shared" si="323"/>
        <v>18666666.666666668</v>
      </c>
      <c r="I198" s="30">
        <f t="shared" si="323"/>
        <v>18333333.333333336</v>
      </c>
      <c r="J198" s="30">
        <f t="shared" si="323"/>
        <v>18000000</v>
      </c>
      <c r="K198" s="30">
        <f t="shared" si="323"/>
        <v>17666666.666666668</v>
      </c>
      <c r="L198" s="30">
        <f t="shared" si="323"/>
        <v>17333333.333333336</v>
      </c>
      <c r="M198" s="30">
        <f t="shared" si="323"/>
        <v>17000000</v>
      </c>
      <c r="N198" s="30">
        <f t="shared" si="323"/>
        <v>16666666.666666668</v>
      </c>
      <c r="O198" s="30">
        <f t="shared" si="323"/>
        <v>16333333.333333334</v>
      </c>
      <c r="P198" s="30">
        <f t="shared" si="323"/>
        <v>16000000.000000002</v>
      </c>
      <c r="Q198" s="30">
        <f t="shared" si="323"/>
        <v>15666666.666666668</v>
      </c>
      <c r="R198" s="30">
        <f t="shared" si="323"/>
        <v>15333333.333333334</v>
      </c>
      <c r="S198" s="30">
        <f t="shared" si="323"/>
        <v>15000000.000000002</v>
      </c>
      <c r="T198" s="30">
        <f t="shared" si="323"/>
        <v>14666666.666666668</v>
      </c>
      <c r="U198" s="30">
        <f t="shared" si="323"/>
        <v>14333333.333333336</v>
      </c>
      <c r="V198" s="30">
        <f t="shared" si="323"/>
        <v>14000000.000000002</v>
      </c>
      <c r="W198" s="30">
        <f t="shared" si="323"/>
        <v>13666666.666666668</v>
      </c>
      <c r="X198" s="30">
        <f t="shared" si="323"/>
        <v>13333333.333333336</v>
      </c>
      <c r="Y198" s="30">
        <f t="shared" si="323"/>
        <v>13000000.000000002</v>
      </c>
      <c r="Z198" s="30">
        <f t="shared" si="323"/>
        <v>12666666.666666668</v>
      </c>
    </row>
    <row r="199" spans="2:26" collapsed="1" x14ac:dyDescent="0.3">
      <c r="C199" s="24"/>
    </row>
    <row r="200" spans="2:26" hidden="1" outlineLevel="1" x14ac:dyDescent="0.3"/>
    <row r="201" spans="2:26" hidden="1" outlineLevel="1" x14ac:dyDescent="0.3">
      <c r="C201" s="27" t="s">
        <v>146</v>
      </c>
      <c r="D201" s="29">
        <f>D158</f>
        <v>1500000</v>
      </c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</row>
    <row r="202" spans="2:26" hidden="1" outlineLevel="1" x14ac:dyDescent="0.3">
      <c r="C202" s="25" t="s">
        <v>142</v>
      </c>
      <c r="D202" s="29">
        <f>D201/D205</f>
        <v>25000</v>
      </c>
      <c r="E202" s="29">
        <f t="shared" ref="E202:Z202" si="324">-$D$208</f>
        <v>-25000</v>
      </c>
      <c r="F202" s="29">
        <f t="shared" si="324"/>
        <v>-25000</v>
      </c>
      <c r="G202" s="29">
        <f t="shared" si="324"/>
        <v>-25000</v>
      </c>
      <c r="H202" s="29">
        <f t="shared" si="324"/>
        <v>-25000</v>
      </c>
      <c r="I202" s="29">
        <f t="shared" si="324"/>
        <v>-25000</v>
      </c>
      <c r="J202" s="29">
        <f t="shared" si="324"/>
        <v>-25000</v>
      </c>
      <c r="K202" s="29">
        <f t="shared" si="324"/>
        <v>-25000</v>
      </c>
      <c r="L202" s="29">
        <f t="shared" si="324"/>
        <v>-25000</v>
      </c>
      <c r="M202" s="29">
        <f t="shared" si="324"/>
        <v>-25000</v>
      </c>
      <c r="N202" s="29">
        <f t="shared" si="324"/>
        <v>-25000</v>
      </c>
      <c r="O202" s="29">
        <f t="shared" si="324"/>
        <v>-25000</v>
      </c>
      <c r="P202" s="29">
        <f t="shared" si="324"/>
        <v>-25000</v>
      </c>
      <c r="Q202" s="29">
        <f t="shared" si="324"/>
        <v>-25000</v>
      </c>
      <c r="R202" s="29">
        <f t="shared" si="324"/>
        <v>-25000</v>
      </c>
      <c r="S202" s="29">
        <f t="shared" si="324"/>
        <v>-25000</v>
      </c>
      <c r="T202" s="29">
        <f t="shared" si="324"/>
        <v>-25000</v>
      </c>
      <c r="U202" s="29">
        <f t="shared" si="324"/>
        <v>-25000</v>
      </c>
      <c r="V202" s="29">
        <f t="shared" si="324"/>
        <v>-25000</v>
      </c>
      <c r="W202" s="29">
        <f t="shared" si="324"/>
        <v>-25000</v>
      </c>
      <c r="X202" s="29">
        <f t="shared" si="324"/>
        <v>-25000</v>
      </c>
      <c r="Y202" s="29">
        <f t="shared" si="324"/>
        <v>-25000</v>
      </c>
      <c r="Z202" s="29">
        <f t="shared" si="324"/>
        <v>-25000</v>
      </c>
    </row>
    <row r="203" spans="2:26" hidden="1" outlineLevel="1" x14ac:dyDescent="0.3">
      <c r="C203" s="25" t="s">
        <v>143</v>
      </c>
      <c r="D203" s="29"/>
      <c r="E203" s="29">
        <f>D204</f>
        <v>1500000</v>
      </c>
      <c r="F203" s="29">
        <f>E204</f>
        <v>1475000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</row>
    <row r="204" spans="2:26" hidden="1" outlineLevel="1" x14ac:dyDescent="0.3">
      <c r="C204" s="25" t="s">
        <v>144</v>
      </c>
      <c r="D204" s="29">
        <f>D201</f>
        <v>1500000</v>
      </c>
      <c r="E204" s="29">
        <f>E203+E202</f>
        <v>1475000</v>
      </c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</row>
    <row r="205" spans="2:26" hidden="1" outlineLevel="1" x14ac:dyDescent="0.3">
      <c r="C205" s="25" t="s">
        <v>145</v>
      </c>
      <c r="D205" s="26">
        <v>60</v>
      </c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</row>
    <row r="206" spans="2:26" hidden="1" outlineLevel="1" x14ac:dyDescent="0.3"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</row>
    <row r="207" spans="2:26" hidden="1" outlineLevel="1" x14ac:dyDescent="0.3">
      <c r="C207" s="27" t="s">
        <v>147</v>
      </c>
      <c r="D207" s="29">
        <f>D162</f>
        <v>1500000</v>
      </c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</row>
    <row r="208" spans="2:26" hidden="1" outlineLevel="1" x14ac:dyDescent="0.3">
      <c r="C208" s="25" t="s">
        <v>142</v>
      </c>
      <c r="D208" s="29">
        <f>D207/D211</f>
        <v>25000</v>
      </c>
      <c r="E208" s="29">
        <f>-$D$208</f>
        <v>-25000</v>
      </c>
      <c r="F208" s="29">
        <f t="shared" ref="F208:Z208" si="325">-$D$208</f>
        <v>-25000</v>
      </c>
      <c r="G208" s="29">
        <f t="shared" si="325"/>
        <v>-25000</v>
      </c>
      <c r="H208" s="29">
        <f t="shared" si="325"/>
        <v>-25000</v>
      </c>
      <c r="I208" s="29">
        <f t="shared" si="325"/>
        <v>-25000</v>
      </c>
      <c r="J208" s="29">
        <f t="shared" si="325"/>
        <v>-25000</v>
      </c>
      <c r="K208" s="29">
        <f t="shared" si="325"/>
        <v>-25000</v>
      </c>
      <c r="L208" s="29">
        <f t="shared" si="325"/>
        <v>-25000</v>
      </c>
      <c r="M208" s="29">
        <f t="shared" si="325"/>
        <v>-25000</v>
      </c>
      <c r="N208" s="29">
        <f t="shared" si="325"/>
        <v>-25000</v>
      </c>
      <c r="O208" s="29">
        <f t="shared" si="325"/>
        <v>-25000</v>
      </c>
      <c r="P208" s="29">
        <f t="shared" si="325"/>
        <v>-25000</v>
      </c>
      <c r="Q208" s="29">
        <f t="shared" si="325"/>
        <v>-25000</v>
      </c>
      <c r="R208" s="29">
        <f t="shared" si="325"/>
        <v>-25000</v>
      </c>
      <c r="S208" s="29">
        <f t="shared" si="325"/>
        <v>-25000</v>
      </c>
      <c r="T208" s="29">
        <f t="shared" si="325"/>
        <v>-25000</v>
      </c>
      <c r="U208" s="29">
        <f t="shared" si="325"/>
        <v>-25000</v>
      </c>
      <c r="V208" s="29">
        <f t="shared" si="325"/>
        <v>-25000</v>
      </c>
      <c r="W208" s="29">
        <f t="shared" si="325"/>
        <v>-25000</v>
      </c>
      <c r="X208" s="29">
        <f t="shared" si="325"/>
        <v>-25000</v>
      </c>
      <c r="Y208" s="29">
        <f t="shared" si="325"/>
        <v>-25000</v>
      </c>
      <c r="Z208" s="29">
        <f t="shared" si="325"/>
        <v>-25000</v>
      </c>
    </row>
    <row r="209" spans="3:26" hidden="1" outlineLevel="1" x14ac:dyDescent="0.3">
      <c r="C209" s="25" t="s">
        <v>143</v>
      </c>
      <c r="D209" s="29"/>
      <c r="E209" s="29">
        <f t="shared" ref="E209:Z209" si="326">D210</f>
        <v>1500000</v>
      </c>
      <c r="F209" s="29">
        <f t="shared" si="326"/>
        <v>1475000</v>
      </c>
      <c r="G209" s="29">
        <f t="shared" si="326"/>
        <v>1450000</v>
      </c>
      <c r="H209" s="29">
        <f t="shared" si="326"/>
        <v>1425000</v>
      </c>
      <c r="I209" s="29">
        <f t="shared" si="326"/>
        <v>1400000</v>
      </c>
      <c r="J209" s="29">
        <f t="shared" si="326"/>
        <v>1375000</v>
      </c>
      <c r="K209" s="29">
        <f t="shared" si="326"/>
        <v>1350000</v>
      </c>
      <c r="L209" s="29">
        <f t="shared" si="326"/>
        <v>1325000</v>
      </c>
      <c r="M209" s="29">
        <f t="shared" si="326"/>
        <v>1300000</v>
      </c>
      <c r="N209" s="29">
        <f t="shared" si="326"/>
        <v>1275000</v>
      </c>
      <c r="O209" s="29">
        <f t="shared" si="326"/>
        <v>1250000</v>
      </c>
      <c r="P209" s="29">
        <f t="shared" si="326"/>
        <v>1225000</v>
      </c>
      <c r="Q209" s="29">
        <f t="shared" si="326"/>
        <v>1200000</v>
      </c>
      <c r="R209" s="29">
        <f t="shared" si="326"/>
        <v>1175000</v>
      </c>
      <c r="S209" s="29">
        <f t="shared" si="326"/>
        <v>1150000</v>
      </c>
      <c r="T209" s="29">
        <f t="shared" si="326"/>
        <v>1125000</v>
      </c>
      <c r="U209" s="29">
        <f t="shared" si="326"/>
        <v>1100000</v>
      </c>
      <c r="V209" s="29">
        <f t="shared" si="326"/>
        <v>1075000</v>
      </c>
      <c r="W209" s="29">
        <f t="shared" si="326"/>
        <v>1050000</v>
      </c>
      <c r="X209" s="29">
        <f t="shared" si="326"/>
        <v>1025000</v>
      </c>
      <c r="Y209" s="29">
        <f t="shared" si="326"/>
        <v>1000000</v>
      </c>
      <c r="Z209" s="29">
        <f t="shared" si="326"/>
        <v>975000</v>
      </c>
    </row>
    <row r="210" spans="3:26" hidden="1" outlineLevel="1" x14ac:dyDescent="0.3">
      <c r="C210" s="25" t="s">
        <v>144</v>
      </c>
      <c r="D210" s="29">
        <f>D207</f>
        <v>1500000</v>
      </c>
      <c r="E210" s="29">
        <f t="shared" ref="E210:Z210" si="327">E209+E208</f>
        <v>1475000</v>
      </c>
      <c r="F210" s="29">
        <f t="shared" si="327"/>
        <v>1450000</v>
      </c>
      <c r="G210" s="29">
        <f t="shared" si="327"/>
        <v>1425000</v>
      </c>
      <c r="H210" s="29">
        <f t="shared" si="327"/>
        <v>1400000</v>
      </c>
      <c r="I210" s="29">
        <f t="shared" si="327"/>
        <v>1375000</v>
      </c>
      <c r="J210" s="29">
        <f t="shared" si="327"/>
        <v>1350000</v>
      </c>
      <c r="K210" s="29">
        <f t="shared" si="327"/>
        <v>1325000</v>
      </c>
      <c r="L210" s="29">
        <f t="shared" si="327"/>
        <v>1300000</v>
      </c>
      <c r="M210" s="29">
        <f t="shared" si="327"/>
        <v>1275000</v>
      </c>
      <c r="N210" s="29">
        <f t="shared" si="327"/>
        <v>1250000</v>
      </c>
      <c r="O210" s="29">
        <f t="shared" si="327"/>
        <v>1225000</v>
      </c>
      <c r="P210" s="29">
        <f t="shared" si="327"/>
        <v>1200000</v>
      </c>
      <c r="Q210" s="29">
        <f t="shared" si="327"/>
        <v>1175000</v>
      </c>
      <c r="R210" s="29">
        <f t="shared" si="327"/>
        <v>1150000</v>
      </c>
      <c r="S210" s="29">
        <f t="shared" si="327"/>
        <v>1125000</v>
      </c>
      <c r="T210" s="29">
        <f t="shared" si="327"/>
        <v>1100000</v>
      </c>
      <c r="U210" s="29">
        <f t="shared" si="327"/>
        <v>1075000</v>
      </c>
      <c r="V210" s="29">
        <f t="shared" si="327"/>
        <v>1050000</v>
      </c>
      <c r="W210" s="29">
        <f t="shared" si="327"/>
        <v>1025000</v>
      </c>
      <c r="X210" s="29">
        <f t="shared" si="327"/>
        <v>1000000</v>
      </c>
      <c r="Y210" s="29">
        <f t="shared" si="327"/>
        <v>975000</v>
      </c>
      <c r="Z210" s="29">
        <f t="shared" si="327"/>
        <v>950000</v>
      </c>
    </row>
    <row r="211" spans="3:26" hidden="1" outlineLevel="1" x14ac:dyDescent="0.3">
      <c r="C211" s="25" t="s">
        <v>145</v>
      </c>
      <c r="D211" s="26">
        <v>60</v>
      </c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</row>
    <row r="212" spans="3:26" hidden="1" outlineLevel="1" x14ac:dyDescent="0.3"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</row>
    <row r="213" spans="3:26" hidden="1" outlineLevel="1" x14ac:dyDescent="0.3">
      <c r="C213" s="27" t="s">
        <v>148</v>
      </c>
      <c r="D213" s="29">
        <f>D166</f>
        <v>1500000</v>
      </c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</row>
    <row r="214" spans="3:26" hidden="1" outlineLevel="1" x14ac:dyDescent="0.3">
      <c r="C214" s="25" t="s">
        <v>142</v>
      </c>
      <c r="D214" s="29">
        <f>D213/D217</f>
        <v>25000</v>
      </c>
      <c r="E214" s="29">
        <f>-$D$214</f>
        <v>-25000</v>
      </c>
      <c r="F214" s="29">
        <f t="shared" ref="F214:Z214" si="328">-$D$214</f>
        <v>-25000</v>
      </c>
      <c r="G214" s="29">
        <f t="shared" si="328"/>
        <v>-25000</v>
      </c>
      <c r="H214" s="29">
        <f t="shared" si="328"/>
        <v>-25000</v>
      </c>
      <c r="I214" s="29">
        <f t="shared" si="328"/>
        <v>-25000</v>
      </c>
      <c r="J214" s="29">
        <f t="shared" si="328"/>
        <v>-25000</v>
      </c>
      <c r="K214" s="29">
        <f t="shared" si="328"/>
        <v>-25000</v>
      </c>
      <c r="L214" s="29">
        <f t="shared" si="328"/>
        <v>-25000</v>
      </c>
      <c r="M214" s="29">
        <f t="shared" si="328"/>
        <v>-25000</v>
      </c>
      <c r="N214" s="29">
        <f t="shared" si="328"/>
        <v>-25000</v>
      </c>
      <c r="O214" s="29">
        <f t="shared" si="328"/>
        <v>-25000</v>
      </c>
      <c r="P214" s="29">
        <f t="shared" si="328"/>
        <v>-25000</v>
      </c>
      <c r="Q214" s="29">
        <f t="shared" si="328"/>
        <v>-25000</v>
      </c>
      <c r="R214" s="29">
        <f t="shared" si="328"/>
        <v>-25000</v>
      </c>
      <c r="S214" s="29">
        <f t="shared" si="328"/>
        <v>-25000</v>
      </c>
      <c r="T214" s="29">
        <f t="shared" si="328"/>
        <v>-25000</v>
      </c>
      <c r="U214" s="29">
        <f t="shared" si="328"/>
        <v>-25000</v>
      </c>
      <c r="V214" s="29">
        <f t="shared" si="328"/>
        <v>-25000</v>
      </c>
      <c r="W214" s="29">
        <f t="shared" si="328"/>
        <v>-25000</v>
      </c>
      <c r="X214" s="29">
        <f t="shared" si="328"/>
        <v>-25000</v>
      </c>
      <c r="Y214" s="29">
        <f t="shared" si="328"/>
        <v>-25000</v>
      </c>
      <c r="Z214" s="29">
        <f t="shared" si="328"/>
        <v>-25000</v>
      </c>
    </row>
    <row r="215" spans="3:26" hidden="1" outlineLevel="1" x14ac:dyDescent="0.3">
      <c r="C215" s="25" t="s">
        <v>143</v>
      </c>
      <c r="D215" s="29"/>
      <c r="E215" s="29">
        <f t="shared" ref="E215:Z215" si="329">D216</f>
        <v>1500000</v>
      </c>
      <c r="F215" s="29">
        <f t="shared" si="329"/>
        <v>1475000</v>
      </c>
      <c r="G215" s="29">
        <f t="shared" si="329"/>
        <v>1450000</v>
      </c>
      <c r="H215" s="29">
        <f t="shared" si="329"/>
        <v>1425000</v>
      </c>
      <c r="I215" s="29">
        <f t="shared" si="329"/>
        <v>1400000</v>
      </c>
      <c r="J215" s="29">
        <f t="shared" si="329"/>
        <v>1375000</v>
      </c>
      <c r="K215" s="29">
        <f t="shared" si="329"/>
        <v>1350000</v>
      </c>
      <c r="L215" s="29">
        <f t="shared" si="329"/>
        <v>1325000</v>
      </c>
      <c r="M215" s="29">
        <f t="shared" si="329"/>
        <v>1300000</v>
      </c>
      <c r="N215" s="29">
        <f t="shared" si="329"/>
        <v>1275000</v>
      </c>
      <c r="O215" s="29">
        <f t="shared" si="329"/>
        <v>1250000</v>
      </c>
      <c r="P215" s="29">
        <f t="shared" si="329"/>
        <v>1225000</v>
      </c>
      <c r="Q215" s="29">
        <f t="shared" si="329"/>
        <v>1200000</v>
      </c>
      <c r="R215" s="29">
        <f t="shared" si="329"/>
        <v>1175000</v>
      </c>
      <c r="S215" s="29">
        <f t="shared" si="329"/>
        <v>1150000</v>
      </c>
      <c r="T215" s="29">
        <f t="shared" si="329"/>
        <v>1125000</v>
      </c>
      <c r="U215" s="29">
        <f t="shared" si="329"/>
        <v>1100000</v>
      </c>
      <c r="V215" s="29">
        <f t="shared" si="329"/>
        <v>1075000</v>
      </c>
      <c r="W215" s="29">
        <f t="shared" si="329"/>
        <v>1050000</v>
      </c>
      <c r="X215" s="29">
        <f t="shared" si="329"/>
        <v>1025000</v>
      </c>
      <c r="Y215" s="29">
        <f t="shared" si="329"/>
        <v>1000000</v>
      </c>
      <c r="Z215" s="29">
        <f t="shared" si="329"/>
        <v>975000</v>
      </c>
    </row>
    <row r="216" spans="3:26" hidden="1" outlineLevel="1" x14ac:dyDescent="0.3">
      <c r="C216" s="25" t="s">
        <v>144</v>
      </c>
      <c r="D216" s="29">
        <f>D213</f>
        <v>1500000</v>
      </c>
      <c r="E216" s="29">
        <f t="shared" ref="E216" si="330">E215+E214</f>
        <v>1475000</v>
      </c>
      <c r="F216" s="29">
        <f t="shared" ref="F216" si="331">F215+F214</f>
        <v>1450000</v>
      </c>
      <c r="G216" s="29">
        <f t="shared" ref="G216" si="332">G215+G214</f>
        <v>1425000</v>
      </c>
      <c r="H216" s="29">
        <f t="shared" ref="H216" si="333">H215+H214</f>
        <v>1400000</v>
      </c>
      <c r="I216" s="29">
        <f t="shared" ref="I216" si="334">I215+I214</f>
        <v>1375000</v>
      </c>
      <c r="J216" s="29">
        <f t="shared" ref="J216" si="335">J215+J214</f>
        <v>1350000</v>
      </c>
      <c r="K216" s="29">
        <f t="shared" ref="K216" si="336">K215+K214</f>
        <v>1325000</v>
      </c>
      <c r="L216" s="29">
        <f t="shared" ref="L216" si="337">L215+L214</f>
        <v>1300000</v>
      </c>
      <c r="M216" s="29">
        <f t="shared" ref="M216" si="338">M215+M214</f>
        <v>1275000</v>
      </c>
      <c r="N216" s="29">
        <f t="shared" ref="N216" si="339">N215+N214</f>
        <v>1250000</v>
      </c>
      <c r="O216" s="29">
        <f t="shared" ref="O216" si="340">O215+O214</f>
        <v>1225000</v>
      </c>
      <c r="P216" s="29">
        <f t="shared" ref="P216" si="341">P215+P214</f>
        <v>1200000</v>
      </c>
      <c r="Q216" s="29">
        <f t="shared" ref="Q216" si="342">Q215+Q214</f>
        <v>1175000</v>
      </c>
      <c r="R216" s="29">
        <f t="shared" ref="R216" si="343">R215+R214</f>
        <v>1150000</v>
      </c>
      <c r="S216" s="29">
        <f t="shared" ref="S216" si="344">S215+S214</f>
        <v>1125000</v>
      </c>
      <c r="T216" s="29">
        <f t="shared" ref="T216" si="345">T215+T214</f>
        <v>1100000</v>
      </c>
      <c r="U216" s="29">
        <f t="shared" ref="U216" si="346">U215+U214</f>
        <v>1075000</v>
      </c>
      <c r="V216" s="29">
        <f t="shared" ref="V216" si="347">V215+V214</f>
        <v>1050000</v>
      </c>
      <c r="W216" s="29">
        <f t="shared" ref="W216" si="348">W215+W214</f>
        <v>1025000</v>
      </c>
      <c r="X216" s="29">
        <f t="shared" ref="X216" si="349">X215+X214</f>
        <v>1000000</v>
      </c>
      <c r="Y216" s="29">
        <f t="shared" ref="Y216" si="350">Y215+Y214</f>
        <v>975000</v>
      </c>
      <c r="Z216" s="29">
        <f t="shared" ref="Z216" si="351">Z215+Z214</f>
        <v>950000</v>
      </c>
    </row>
    <row r="217" spans="3:26" hidden="1" outlineLevel="1" x14ac:dyDescent="0.3">
      <c r="C217" s="25" t="s">
        <v>145</v>
      </c>
      <c r="D217" s="26">
        <v>60</v>
      </c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</row>
    <row r="218" spans="3:26" hidden="1" outlineLevel="1" x14ac:dyDescent="0.3"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</row>
    <row r="219" spans="3:26" hidden="1" outlineLevel="1" x14ac:dyDescent="0.3">
      <c r="C219" s="27" t="s">
        <v>149</v>
      </c>
      <c r="D219" s="29">
        <f>D170</f>
        <v>6000000</v>
      </c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</row>
    <row r="220" spans="3:26" hidden="1" outlineLevel="1" x14ac:dyDescent="0.3">
      <c r="C220" s="25" t="s">
        <v>142</v>
      </c>
      <c r="D220" s="29">
        <f>D219/D223</f>
        <v>100000</v>
      </c>
      <c r="E220" s="29">
        <f>-$D$220</f>
        <v>-100000</v>
      </c>
      <c r="F220" s="29">
        <f t="shared" ref="F220:Z220" si="352">-$D$220</f>
        <v>-100000</v>
      </c>
      <c r="G220" s="29">
        <f t="shared" si="352"/>
        <v>-100000</v>
      </c>
      <c r="H220" s="29">
        <f t="shared" si="352"/>
        <v>-100000</v>
      </c>
      <c r="I220" s="29">
        <f t="shared" si="352"/>
        <v>-100000</v>
      </c>
      <c r="J220" s="29">
        <f t="shared" si="352"/>
        <v>-100000</v>
      </c>
      <c r="K220" s="29">
        <f t="shared" si="352"/>
        <v>-100000</v>
      </c>
      <c r="L220" s="29">
        <f t="shared" si="352"/>
        <v>-100000</v>
      </c>
      <c r="M220" s="29">
        <f t="shared" si="352"/>
        <v>-100000</v>
      </c>
      <c r="N220" s="29">
        <f t="shared" si="352"/>
        <v>-100000</v>
      </c>
      <c r="O220" s="29">
        <f t="shared" si="352"/>
        <v>-100000</v>
      </c>
      <c r="P220" s="29">
        <f t="shared" si="352"/>
        <v>-100000</v>
      </c>
      <c r="Q220" s="29">
        <f t="shared" si="352"/>
        <v>-100000</v>
      </c>
      <c r="R220" s="29">
        <f t="shared" si="352"/>
        <v>-100000</v>
      </c>
      <c r="S220" s="29">
        <f t="shared" si="352"/>
        <v>-100000</v>
      </c>
      <c r="T220" s="29">
        <f t="shared" si="352"/>
        <v>-100000</v>
      </c>
      <c r="U220" s="29">
        <f t="shared" si="352"/>
        <v>-100000</v>
      </c>
      <c r="V220" s="29">
        <f t="shared" si="352"/>
        <v>-100000</v>
      </c>
      <c r="W220" s="29">
        <f t="shared" si="352"/>
        <v>-100000</v>
      </c>
      <c r="X220" s="29">
        <f t="shared" si="352"/>
        <v>-100000</v>
      </c>
      <c r="Y220" s="29">
        <f t="shared" si="352"/>
        <v>-100000</v>
      </c>
      <c r="Z220" s="29">
        <f t="shared" si="352"/>
        <v>-100000</v>
      </c>
    </row>
    <row r="221" spans="3:26" hidden="1" outlineLevel="1" x14ac:dyDescent="0.3">
      <c r="C221" s="25" t="s">
        <v>143</v>
      </c>
      <c r="D221" s="29"/>
      <c r="E221" s="29">
        <f t="shared" ref="E221:Z221" si="353">D222</f>
        <v>6000000</v>
      </c>
      <c r="F221" s="29">
        <f t="shared" si="353"/>
        <v>5900000</v>
      </c>
      <c r="G221" s="29">
        <f t="shared" si="353"/>
        <v>5800000</v>
      </c>
      <c r="H221" s="29">
        <f t="shared" si="353"/>
        <v>5700000</v>
      </c>
      <c r="I221" s="29">
        <f t="shared" si="353"/>
        <v>5600000</v>
      </c>
      <c r="J221" s="29">
        <f t="shared" si="353"/>
        <v>5500000</v>
      </c>
      <c r="K221" s="29">
        <f t="shared" si="353"/>
        <v>5400000</v>
      </c>
      <c r="L221" s="29">
        <f t="shared" si="353"/>
        <v>5300000</v>
      </c>
      <c r="M221" s="29">
        <f t="shared" si="353"/>
        <v>5200000</v>
      </c>
      <c r="N221" s="29">
        <f t="shared" si="353"/>
        <v>5100000</v>
      </c>
      <c r="O221" s="29">
        <f t="shared" si="353"/>
        <v>5000000</v>
      </c>
      <c r="P221" s="29">
        <f t="shared" si="353"/>
        <v>4900000</v>
      </c>
      <c r="Q221" s="29">
        <f t="shared" si="353"/>
        <v>4800000</v>
      </c>
      <c r="R221" s="29">
        <f t="shared" si="353"/>
        <v>4700000</v>
      </c>
      <c r="S221" s="29">
        <f t="shared" si="353"/>
        <v>4600000</v>
      </c>
      <c r="T221" s="29">
        <f t="shared" si="353"/>
        <v>4500000</v>
      </c>
      <c r="U221" s="29">
        <f t="shared" si="353"/>
        <v>4400000</v>
      </c>
      <c r="V221" s="29">
        <f t="shared" si="353"/>
        <v>4300000</v>
      </c>
      <c r="W221" s="29">
        <f t="shared" si="353"/>
        <v>4200000</v>
      </c>
      <c r="X221" s="29">
        <f t="shared" si="353"/>
        <v>4100000</v>
      </c>
      <c r="Y221" s="29">
        <f t="shared" si="353"/>
        <v>4000000</v>
      </c>
      <c r="Z221" s="29">
        <f t="shared" si="353"/>
        <v>3900000</v>
      </c>
    </row>
    <row r="222" spans="3:26" hidden="1" outlineLevel="1" x14ac:dyDescent="0.3">
      <c r="C222" s="25" t="s">
        <v>144</v>
      </c>
      <c r="D222" s="29">
        <f>D219</f>
        <v>6000000</v>
      </c>
      <c r="E222" s="29">
        <f t="shared" ref="E222" si="354">E221+E220</f>
        <v>5900000</v>
      </c>
      <c r="F222" s="29">
        <f t="shared" ref="F222" si="355">F221+F220</f>
        <v>5800000</v>
      </c>
      <c r="G222" s="29">
        <f t="shared" ref="G222" si="356">G221+G220</f>
        <v>5700000</v>
      </c>
      <c r="H222" s="29">
        <f t="shared" ref="H222" si="357">H221+H220</f>
        <v>5600000</v>
      </c>
      <c r="I222" s="29">
        <f t="shared" ref="I222" si="358">I221+I220</f>
        <v>5500000</v>
      </c>
      <c r="J222" s="29">
        <f t="shared" ref="J222" si="359">J221+J220</f>
        <v>5400000</v>
      </c>
      <c r="K222" s="29">
        <f t="shared" ref="K222" si="360">K221+K220</f>
        <v>5300000</v>
      </c>
      <c r="L222" s="29">
        <f t="shared" ref="L222" si="361">L221+L220</f>
        <v>5200000</v>
      </c>
      <c r="M222" s="29">
        <f t="shared" ref="M222" si="362">M221+M220</f>
        <v>5100000</v>
      </c>
      <c r="N222" s="29">
        <f t="shared" ref="N222" si="363">N221+N220</f>
        <v>5000000</v>
      </c>
      <c r="O222" s="29">
        <f t="shared" ref="O222" si="364">O221+O220</f>
        <v>4900000</v>
      </c>
      <c r="P222" s="29">
        <f t="shared" ref="P222" si="365">P221+P220</f>
        <v>4800000</v>
      </c>
      <c r="Q222" s="29">
        <f t="shared" ref="Q222" si="366">Q221+Q220</f>
        <v>4700000</v>
      </c>
      <c r="R222" s="29">
        <f t="shared" ref="R222" si="367">R221+R220</f>
        <v>4600000</v>
      </c>
      <c r="S222" s="29">
        <f t="shared" ref="S222" si="368">S221+S220</f>
        <v>4500000</v>
      </c>
      <c r="T222" s="29">
        <f t="shared" ref="T222" si="369">T221+T220</f>
        <v>4400000</v>
      </c>
      <c r="U222" s="29">
        <f t="shared" ref="U222" si="370">U221+U220</f>
        <v>4300000</v>
      </c>
      <c r="V222" s="29">
        <f t="shared" ref="V222" si="371">V221+V220</f>
        <v>4200000</v>
      </c>
      <c r="W222" s="29">
        <f t="shared" ref="W222" si="372">W221+W220</f>
        <v>4100000</v>
      </c>
      <c r="X222" s="29">
        <f t="shared" ref="X222" si="373">X221+X220</f>
        <v>4000000</v>
      </c>
      <c r="Y222" s="29">
        <f t="shared" ref="Y222" si="374">Y221+Y220</f>
        <v>3900000</v>
      </c>
      <c r="Z222" s="29">
        <f t="shared" ref="Z222" si="375">Z221+Z220</f>
        <v>3800000</v>
      </c>
    </row>
    <row r="223" spans="3:26" hidden="1" outlineLevel="1" x14ac:dyDescent="0.3">
      <c r="C223" s="25" t="s">
        <v>145</v>
      </c>
      <c r="D223" s="26">
        <v>60</v>
      </c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</row>
    <row r="224" spans="3:26" hidden="1" outlineLevel="1" x14ac:dyDescent="0.3"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</row>
    <row r="225" spans="3:26" hidden="1" outlineLevel="1" x14ac:dyDescent="0.3">
      <c r="C225" s="27" t="s">
        <v>150</v>
      </c>
      <c r="D225" s="29">
        <f>D174</f>
        <v>6000000</v>
      </c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</row>
    <row r="226" spans="3:26" hidden="1" outlineLevel="1" x14ac:dyDescent="0.3">
      <c r="C226" s="25" t="s">
        <v>142</v>
      </c>
      <c r="D226" s="29">
        <f>D225/D229</f>
        <v>100000</v>
      </c>
      <c r="E226" s="29">
        <f>-$D$226</f>
        <v>-100000</v>
      </c>
      <c r="F226" s="29">
        <f t="shared" ref="F226:Z226" si="376">-$D$226</f>
        <v>-100000</v>
      </c>
      <c r="G226" s="29">
        <f t="shared" si="376"/>
        <v>-100000</v>
      </c>
      <c r="H226" s="29">
        <f t="shared" si="376"/>
        <v>-100000</v>
      </c>
      <c r="I226" s="29">
        <f t="shared" si="376"/>
        <v>-100000</v>
      </c>
      <c r="J226" s="29">
        <f t="shared" si="376"/>
        <v>-100000</v>
      </c>
      <c r="K226" s="29">
        <f t="shared" si="376"/>
        <v>-100000</v>
      </c>
      <c r="L226" s="29">
        <f t="shared" si="376"/>
        <v>-100000</v>
      </c>
      <c r="M226" s="29">
        <f t="shared" si="376"/>
        <v>-100000</v>
      </c>
      <c r="N226" s="29">
        <f t="shared" si="376"/>
        <v>-100000</v>
      </c>
      <c r="O226" s="29">
        <f t="shared" si="376"/>
        <v>-100000</v>
      </c>
      <c r="P226" s="29">
        <f t="shared" si="376"/>
        <v>-100000</v>
      </c>
      <c r="Q226" s="29">
        <f t="shared" si="376"/>
        <v>-100000</v>
      </c>
      <c r="R226" s="29">
        <f t="shared" si="376"/>
        <v>-100000</v>
      </c>
      <c r="S226" s="29">
        <f t="shared" si="376"/>
        <v>-100000</v>
      </c>
      <c r="T226" s="29">
        <f t="shared" si="376"/>
        <v>-100000</v>
      </c>
      <c r="U226" s="29">
        <f t="shared" si="376"/>
        <v>-100000</v>
      </c>
      <c r="V226" s="29">
        <f t="shared" si="376"/>
        <v>-100000</v>
      </c>
      <c r="W226" s="29">
        <f t="shared" si="376"/>
        <v>-100000</v>
      </c>
      <c r="X226" s="29">
        <f t="shared" si="376"/>
        <v>-100000</v>
      </c>
      <c r="Y226" s="29">
        <f t="shared" si="376"/>
        <v>-100000</v>
      </c>
      <c r="Z226" s="29">
        <f t="shared" si="376"/>
        <v>-100000</v>
      </c>
    </row>
    <row r="227" spans="3:26" hidden="1" outlineLevel="1" x14ac:dyDescent="0.3">
      <c r="C227" s="25" t="s">
        <v>143</v>
      </c>
      <c r="D227" s="29"/>
      <c r="E227" s="29">
        <f t="shared" ref="E227:Z227" si="377">D228</f>
        <v>6000000</v>
      </c>
      <c r="F227" s="29">
        <f t="shared" si="377"/>
        <v>5900000</v>
      </c>
      <c r="G227" s="29">
        <f t="shared" si="377"/>
        <v>5800000</v>
      </c>
      <c r="H227" s="29">
        <f t="shared" si="377"/>
        <v>5700000</v>
      </c>
      <c r="I227" s="29">
        <f t="shared" si="377"/>
        <v>5600000</v>
      </c>
      <c r="J227" s="29">
        <f t="shared" si="377"/>
        <v>5500000</v>
      </c>
      <c r="K227" s="29">
        <f t="shared" si="377"/>
        <v>5400000</v>
      </c>
      <c r="L227" s="29">
        <f t="shared" si="377"/>
        <v>5300000</v>
      </c>
      <c r="M227" s="29">
        <f t="shared" si="377"/>
        <v>5200000</v>
      </c>
      <c r="N227" s="29">
        <f t="shared" si="377"/>
        <v>5100000</v>
      </c>
      <c r="O227" s="29">
        <f t="shared" si="377"/>
        <v>5000000</v>
      </c>
      <c r="P227" s="29">
        <f t="shared" si="377"/>
        <v>4900000</v>
      </c>
      <c r="Q227" s="29">
        <f t="shared" si="377"/>
        <v>4800000</v>
      </c>
      <c r="R227" s="29">
        <f t="shared" si="377"/>
        <v>4700000</v>
      </c>
      <c r="S227" s="29">
        <f t="shared" si="377"/>
        <v>4600000</v>
      </c>
      <c r="T227" s="29">
        <f t="shared" si="377"/>
        <v>4500000</v>
      </c>
      <c r="U227" s="29">
        <f t="shared" si="377"/>
        <v>4400000</v>
      </c>
      <c r="V227" s="29">
        <f t="shared" si="377"/>
        <v>4300000</v>
      </c>
      <c r="W227" s="29">
        <f t="shared" si="377"/>
        <v>4200000</v>
      </c>
      <c r="X227" s="29">
        <f t="shared" si="377"/>
        <v>4100000</v>
      </c>
      <c r="Y227" s="29">
        <f t="shared" si="377"/>
        <v>4000000</v>
      </c>
      <c r="Z227" s="29">
        <f t="shared" si="377"/>
        <v>3900000</v>
      </c>
    </row>
    <row r="228" spans="3:26" hidden="1" outlineLevel="1" x14ac:dyDescent="0.3">
      <c r="C228" s="25" t="s">
        <v>144</v>
      </c>
      <c r="D228" s="29">
        <f>D225</f>
        <v>6000000</v>
      </c>
      <c r="E228" s="29">
        <f t="shared" ref="E228" si="378">E227+E226</f>
        <v>5900000</v>
      </c>
      <c r="F228" s="29">
        <f t="shared" ref="F228" si="379">F227+F226</f>
        <v>5800000</v>
      </c>
      <c r="G228" s="29">
        <f t="shared" ref="G228" si="380">G227+G226</f>
        <v>5700000</v>
      </c>
      <c r="H228" s="29">
        <f t="shared" ref="H228" si="381">H227+H226</f>
        <v>5600000</v>
      </c>
      <c r="I228" s="29">
        <f t="shared" ref="I228" si="382">I227+I226</f>
        <v>5500000</v>
      </c>
      <c r="J228" s="29">
        <f t="shared" ref="J228" si="383">J227+J226</f>
        <v>5400000</v>
      </c>
      <c r="K228" s="29">
        <f t="shared" ref="K228" si="384">K227+K226</f>
        <v>5300000</v>
      </c>
      <c r="L228" s="29">
        <f t="shared" ref="L228" si="385">L227+L226</f>
        <v>5200000</v>
      </c>
      <c r="M228" s="29">
        <f t="shared" ref="M228" si="386">M227+M226</f>
        <v>5100000</v>
      </c>
      <c r="N228" s="29">
        <f t="shared" ref="N228" si="387">N227+N226</f>
        <v>5000000</v>
      </c>
      <c r="O228" s="29">
        <f t="shared" ref="O228" si="388">O227+O226</f>
        <v>4900000</v>
      </c>
      <c r="P228" s="29">
        <f t="shared" ref="P228" si="389">P227+P226</f>
        <v>4800000</v>
      </c>
      <c r="Q228" s="29">
        <f t="shared" ref="Q228" si="390">Q227+Q226</f>
        <v>4700000</v>
      </c>
      <c r="R228" s="29">
        <f t="shared" ref="R228" si="391">R227+R226</f>
        <v>4600000</v>
      </c>
      <c r="S228" s="29">
        <f t="shared" ref="S228" si="392">S227+S226</f>
        <v>4500000</v>
      </c>
      <c r="T228" s="29">
        <f t="shared" ref="T228" si="393">T227+T226</f>
        <v>4400000</v>
      </c>
      <c r="U228" s="29">
        <f t="shared" ref="U228" si="394">U227+U226</f>
        <v>4300000</v>
      </c>
      <c r="V228" s="29">
        <f t="shared" ref="V228" si="395">V227+V226</f>
        <v>4200000</v>
      </c>
      <c r="W228" s="29">
        <f t="shared" ref="W228" si="396">W227+W226</f>
        <v>4100000</v>
      </c>
      <c r="X228" s="29">
        <f t="shared" ref="X228" si="397">X227+X226</f>
        <v>4000000</v>
      </c>
      <c r="Y228" s="29">
        <f t="shared" ref="Y228" si="398">Y227+Y226</f>
        <v>3900000</v>
      </c>
      <c r="Z228" s="29">
        <f t="shared" ref="Z228" si="399">Z227+Z226</f>
        <v>3800000</v>
      </c>
    </row>
    <row r="229" spans="3:26" hidden="1" outlineLevel="1" x14ac:dyDescent="0.3">
      <c r="C229" s="25" t="s">
        <v>145</v>
      </c>
      <c r="D229" s="26">
        <v>60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</row>
    <row r="230" spans="3:26" hidden="1" outlineLevel="1" x14ac:dyDescent="0.3"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</row>
    <row r="231" spans="3:26" hidden="1" outlineLevel="1" x14ac:dyDescent="0.3">
      <c r="C231" s="27" t="s">
        <v>151</v>
      </c>
      <c r="D231" s="29">
        <f>D178</f>
        <v>3000000</v>
      </c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</row>
    <row r="232" spans="3:26" hidden="1" outlineLevel="1" x14ac:dyDescent="0.3">
      <c r="C232" s="25" t="s">
        <v>142</v>
      </c>
      <c r="D232" s="29">
        <f>D231/D235</f>
        <v>50000</v>
      </c>
      <c r="E232" s="29">
        <f>-$D$232</f>
        <v>-50000</v>
      </c>
      <c r="F232" s="29">
        <f t="shared" ref="F232:Z232" si="400">-$D$232</f>
        <v>-50000</v>
      </c>
      <c r="G232" s="29">
        <f t="shared" si="400"/>
        <v>-50000</v>
      </c>
      <c r="H232" s="29">
        <f t="shared" si="400"/>
        <v>-50000</v>
      </c>
      <c r="I232" s="29">
        <f t="shared" si="400"/>
        <v>-50000</v>
      </c>
      <c r="J232" s="29">
        <f t="shared" si="400"/>
        <v>-50000</v>
      </c>
      <c r="K232" s="29">
        <f t="shared" si="400"/>
        <v>-50000</v>
      </c>
      <c r="L232" s="29">
        <f t="shared" si="400"/>
        <v>-50000</v>
      </c>
      <c r="M232" s="29">
        <f t="shared" si="400"/>
        <v>-50000</v>
      </c>
      <c r="N232" s="29">
        <f t="shared" si="400"/>
        <v>-50000</v>
      </c>
      <c r="O232" s="29">
        <f t="shared" si="400"/>
        <v>-50000</v>
      </c>
      <c r="P232" s="29">
        <f t="shared" si="400"/>
        <v>-50000</v>
      </c>
      <c r="Q232" s="29">
        <f t="shared" si="400"/>
        <v>-50000</v>
      </c>
      <c r="R232" s="29">
        <f t="shared" si="400"/>
        <v>-50000</v>
      </c>
      <c r="S232" s="29">
        <f t="shared" si="400"/>
        <v>-50000</v>
      </c>
      <c r="T232" s="29">
        <f t="shared" si="400"/>
        <v>-50000</v>
      </c>
      <c r="U232" s="29">
        <f t="shared" si="400"/>
        <v>-50000</v>
      </c>
      <c r="V232" s="29">
        <f t="shared" si="400"/>
        <v>-50000</v>
      </c>
      <c r="W232" s="29">
        <f t="shared" si="400"/>
        <v>-50000</v>
      </c>
      <c r="X232" s="29">
        <f t="shared" si="400"/>
        <v>-50000</v>
      </c>
      <c r="Y232" s="29">
        <f t="shared" si="400"/>
        <v>-50000</v>
      </c>
      <c r="Z232" s="29">
        <f t="shared" si="400"/>
        <v>-50000</v>
      </c>
    </row>
    <row r="233" spans="3:26" hidden="1" outlineLevel="1" x14ac:dyDescent="0.3">
      <c r="C233" s="25" t="s">
        <v>143</v>
      </c>
      <c r="D233" s="29"/>
      <c r="E233" s="29">
        <f t="shared" ref="E233:Z233" si="401">D234</f>
        <v>3000000</v>
      </c>
      <c r="F233" s="29">
        <f t="shared" si="401"/>
        <v>2950000</v>
      </c>
      <c r="G233" s="29">
        <f t="shared" si="401"/>
        <v>2900000</v>
      </c>
      <c r="H233" s="29">
        <f t="shared" si="401"/>
        <v>2850000</v>
      </c>
      <c r="I233" s="29">
        <f t="shared" si="401"/>
        <v>2800000</v>
      </c>
      <c r="J233" s="29">
        <f t="shared" si="401"/>
        <v>2750000</v>
      </c>
      <c r="K233" s="29">
        <f t="shared" si="401"/>
        <v>2700000</v>
      </c>
      <c r="L233" s="29">
        <f t="shared" si="401"/>
        <v>2650000</v>
      </c>
      <c r="M233" s="29">
        <f t="shared" si="401"/>
        <v>2600000</v>
      </c>
      <c r="N233" s="29">
        <f t="shared" si="401"/>
        <v>2550000</v>
      </c>
      <c r="O233" s="29">
        <f t="shared" si="401"/>
        <v>2500000</v>
      </c>
      <c r="P233" s="29">
        <f t="shared" si="401"/>
        <v>2450000</v>
      </c>
      <c r="Q233" s="29">
        <f t="shared" si="401"/>
        <v>2400000</v>
      </c>
      <c r="R233" s="29">
        <f t="shared" si="401"/>
        <v>2350000</v>
      </c>
      <c r="S233" s="29">
        <f t="shared" si="401"/>
        <v>2300000</v>
      </c>
      <c r="T233" s="29">
        <f t="shared" si="401"/>
        <v>2250000</v>
      </c>
      <c r="U233" s="29">
        <f t="shared" si="401"/>
        <v>2200000</v>
      </c>
      <c r="V233" s="29">
        <f t="shared" si="401"/>
        <v>2150000</v>
      </c>
      <c r="W233" s="29">
        <f t="shared" si="401"/>
        <v>2100000</v>
      </c>
      <c r="X233" s="29">
        <f t="shared" si="401"/>
        <v>2050000</v>
      </c>
      <c r="Y233" s="29">
        <f t="shared" si="401"/>
        <v>2000000</v>
      </c>
      <c r="Z233" s="29">
        <f t="shared" si="401"/>
        <v>1950000</v>
      </c>
    </row>
    <row r="234" spans="3:26" hidden="1" outlineLevel="1" x14ac:dyDescent="0.3">
      <c r="C234" s="25" t="s">
        <v>144</v>
      </c>
      <c r="D234" s="29">
        <f>D231</f>
        <v>3000000</v>
      </c>
      <c r="E234" s="29">
        <f t="shared" ref="E234" si="402">E233+E232</f>
        <v>2950000</v>
      </c>
      <c r="F234" s="29">
        <f t="shared" ref="F234" si="403">F233+F232</f>
        <v>2900000</v>
      </c>
      <c r="G234" s="29">
        <f t="shared" ref="G234" si="404">G233+G232</f>
        <v>2850000</v>
      </c>
      <c r="H234" s="29">
        <f t="shared" ref="H234" si="405">H233+H232</f>
        <v>2800000</v>
      </c>
      <c r="I234" s="29">
        <f t="shared" ref="I234" si="406">I233+I232</f>
        <v>2750000</v>
      </c>
      <c r="J234" s="29">
        <f t="shared" ref="J234" si="407">J233+J232</f>
        <v>2700000</v>
      </c>
      <c r="K234" s="29">
        <f t="shared" ref="K234" si="408">K233+K232</f>
        <v>2650000</v>
      </c>
      <c r="L234" s="29">
        <f t="shared" ref="L234" si="409">L233+L232</f>
        <v>2600000</v>
      </c>
      <c r="M234" s="29">
        <f t="shared" ref="M234" si="410">M233+M232</f>
        <v>2550000</v>
      </c>
      <c r="N234" s="29">
        <f t="shared" ref="N234" si="411">N233+N232</f>
        <v>2500000</v>
      </c>
      <c r="O234" s="29">
        <f t="shared" ref="O234" si="412">O233+O232</f>
        <v>2450000</v>
      </c>
      <c r="P234" s="29">
        <f t="shared" ref="P234" si="413">P233+P232</f>
        <v>2400000</v>
      </c>
      <c r="Q234" s="29">
        <f t="shared" ref="Q234" si="414">Q233+Q232</f>
        <v>2350000</v>
      </c>
      <c r="R234" s="29">
        <f t="shared" ref="R234" si="415">R233+R232</f>
        <v>2300000</v>
      </c>
      <c r="S234" s="29">
        <f t="shared" ref="S234" si="416">S233+S232</f>
        <v>2250000</v>
      </c>
      <c r="T234" s="29">
        <f t="shared" ref="T234" si="417">T233+T232</f>
        <v>2200000</v>
      </c>
      <c r="U234" s="29">
        <f t="shared" ref="U234" si="418">U233+U232</f>
        <v>2150000</v>
      </c>
      <c r="V234" s="29">
        <f t="shared" ref="V234" si="419">V233+V232</f>
        <v>2100000</v>
      </c>
      <c r="W234" s="29">
        <f t="shared" ref="W234" si="420">W233+W232</f>
        <v>2050000</v>
      </c>
      <c r="X234" s="29">
        <f t="shared" ref="X234" si="421">X233+X232</f>
        <v>2000000</v>
      </c>
      <c r="Y234" s="29">
        <f t="shared" ref="Y234" si="422">Y233+Y232</f>
        <v>1950000</v>
      </c>
      <c r="Z234" s="29">
        <f t="shared" ref="Z234" si="423">Z233+Z232</f>
        <v>1900000</v>
      </c>
    </row>
    <row r="235" spans="3:26" hidden="1" outlineLevel="1" x14ac:dyDescent="0.3">
      <c r="C235" s="25" t="s">
        <v>145</v>
      </c>
      <c r="D235" s="26">
        <v>60</v>
      </c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</row>
    <row r="236" spans="3:26" hidden="1" outlineLevel="1" x14ac:dyDescent="0.3"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</row>
    <row r="237" spans="3:26" hidden="1" outlineLevel="1" x14ac:dyDescent="0.3">
      <c r="C237" s="27" t="s">
        <v>152</v>
      </c>
      <c r="D237" s="29">
        <f>D182</f>
        <v>2000000.0000000002</v>
      </c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</row>
    <row r="238" spans="3:26" hidden="1" outlineLevel="1" x14ac:dyDescent="0.3">
      <c r="C238" s="25" t="s">
        <v>142</v>
      </c>
      <c r="D238" s="29">
        <f>D237/D241</f>
        <v>33333.333333333336</v>
      </c>
      <c r="E238" s="29">
        <f>-$D$238</f>
        <v>-33333.333333333336</v>
      </c>
      <c r="F238" s="29">
        <f t="shared" ref="F238:Z238" si="424">-$D$238</f>
        <v>-33333.333333333336</v>
      </c>
      <c r="G238" s="29">
        <f t="shared" si="424"/>
        <v>-33333.333333333336</v>
      </c>
      <c r="H238" s="29">
        <f t="shared" si="424"/>
        <v>-33333.333333333336</v>
      </c>
      <c r="I238" s="29">
        <f t="shared" si="424"/>
        <v>-33333.333333333336</v>
      </c>
      <c r="J238" s="29">
        <f t="shared" si="424"/>
        <v>-33333.333333333336</v>
      </c>
      <c r="K238" s="29">
        <f t="shared" si="424"/>
        <v>-33333.333333333336</v>
      </c>
      <c r="L238" s="29">
        <f t="shared" si="424"/>
        <v>-33333.333333333336</v>
      </c>
      <c r="M238" s="29">
        <f t="shared" si="424"/>
        <v>-33333.333333333336</v>
      </c>
      <c r="N238" s="29">
        <f t="shared" si="424"/>
        <v>-33333.333333333336</v>
      </c>
      <c r="O238" s="29">
        <f t="shared" si="424"/>
        <v>-33333.333333333336</v>
      </c>
      <c r="P238" s="29">
        <f t="shared" si="424"/>
        <v>-33333.333333333336</v>
      </c>
      <c r="Q238" s="29">
        <f t="shared" si="424"/>
        <v>-33333.333333333336</v>
      </c>
      <c r="R238" s="29">
        <f t="shared" si="424"/>
        <v>-33333.333333333336</v>
      </c>
      <c r="S238" s="29">
        <f t="shared" si="424"/>
        <v>-33333.333333333336</v>
      </c>
      <c r="T238" s="29">
        <f t="shared" si="424"/>
        <v>-33333.333333333336</v>
      </c>
      <c r="U238" s="29">
        <f t="shared" si="424"/>
        <v>-33333.333333333336</v>
      </c>
      <c r="V238" s="29">
        <f t="shared" si="424"/>
        <v>-33333.333333333336</v>
      </c>
      <c r="W238" s="29">
        <f t="shared" si="424"/>
        <v>-33333.333333333336</v>
      </c>
      <c r="X238" s="29">
        <f t="shared" si="424"/>
        <v>-33333.333333333336</v>
      </c>
      <c r="Y238" s="29">
        <f t="shared" si="424"/>
        <v>-33333.333333333336</v>
      </c>
      <c r="Z238" s="29">
        <f t="shared" si="424"/>
        <v>-33333.333333333336</v>
      </c>
    </row>
    <row r="239" spans="3:26" hidden="1" outlineLevel="1" x14ac:dyDescent="0.3">
      <c r="C239" s="25" t="s">
        <v>143</v>
      </c>
      <c r="D239" s="29"/>
      <c r="E239" s="29">
        <f t="shared" ref="E239:Z239" si="425">D240</f>
        <v>2000000.0000000002</v>
      </c>
      <c r="F239" s="29">
        <f t="shared" si="425"/>
        <v>1966666.666666667</v>
      </c>
      <c r="G239" s="29">
        <f t="shared" si="425"/>
        <v>1933333.3333333337</v>
      </c>
      <c r="H239" s="29">
        <f t="shared" si="425"/>
        <v>1900000.0000000005</v>
      </c>
      <c r="I239" s="29">
        <f t="shared" si="425"/>
        <v>1866666.6666666672</v>
      </c>
      <c r="J239" s="29">
        <f t="shared" si="425"/>
        <v>1833333.333333334</v>
      </c>
      <c r="K239" s="29">
        <f t="shared" si="425"/>
        <v>1800000.0000000007</v>
      </c>
      <c r="L239" s="29">
        <f t="shared" si="425"/>
        <v>1766666.6666666674</v>
      </c>
      <c r="M239" s="29">
        <f t="shared" si="425"/>
        <v>1733333.3333333342</v>
      </c>
      <c r="N239" s="29">
        <f t="shared" si="425"/>
        <v>1700000.0000000009</v>
      </c>
      <c r="O239" s="29">
        <f t="shared" si="425"/>
        <v>1666666.6666666677</v>
      </c>
      <c r="P239" s="29">
        <f t="shared" si="425"/>
        <v>1633333.3333333344</v>
      </c>
      <c r="Q239" s="29">
        <f t="shared" si="425"/>
        <v>1600000.0000000012</v>
      </c>
      <c r="R239" s="29">
        <f t="shared" si="425"/>
        <v>1566666.6666666679</v>
      </c>
      <c r="S239" s="29">
        <f t="shared" si="425"/>
        <v>1533333.3333333347</v>
      </c>
      <c r="T239" s="29">
        <f t="shared" si="425"/>
        <v>1500000.0000000014</v>
      </c>
      <c r="U239" s="29">
        <f t="shared" si="425"/>
        <v>1466666.6666666681</v>
      </c>
      <c r="V239" s="29">
        <f t="shared" si="425"/>
        <v>1433333.3333333349</v>
      </c>
      <c r="W239" s="29">
        <f t="shared" si="425"/>
        <v>1400000.0000000016</v>
      </c>
      <c r="X239" s="29">
        <f t="shared" si="425"/>
        <v>1366666.6666666684</v>
      </c>
      <c r="Y239" s="29">
        <f t="shared" si="425"/>
        <v>1333333.3333333351</v>
      </c>
      <c r="Z239" s="29">
        <f t="shared" si="425"/>
        <v>1300000.0000000019</v>
      </c>
    </row>
    <row r="240" spans="3:26" hidden="1" outlineLevel="1" x14ac:dyDescent="0.3">
      <c r="C240" s="25" t="s">
        <v>144</v>
      </c>
      <c r="D240" s="29">
        <f>D237</f>
        <v>2000000.0000000002</v>
      </c>
      <c r="E240" s="29">
        <f t="shared" ref="E240" si="426">E239+E238</f>
        <v>1966666.666666667</v>
      </c>
      <c r="F240" s="29">
        <f t="shared" ref="F240" si="427">F239+F238</f>
        <v>1933333.3333333337</v>
      </c>
      <c r="G240" s="29">
        <f t="shared" ref="G240" si="428">G239+G238</f>
        <v>1900000.0000000005</v>
      </c>
      <c r="H240" s="29">
        <f t="shared" ref="H240" si="429">H239+H238</f>
        <v>1866666.6666666672</v>
      </c>
      <c r="I240" s="29">
        <f t="shared" ref="I240" si="430">I239+I238</f>
        <v>1833333.333333334</v>
      </c>
      <c r="J240" s="29">
        <f t="shared" ref="J240" si="431">J239+J238</f>
        <v>1800000.0000000007</v>
      </c>
      <c r="K240" s="29">
        <f t="shared" ref="K240" si="432">K239+K238</f>
        <v>1766666.6666666674</v>
      </c>
      <c r="L240" s="29">
        <f t="shared" ref="L240" si="433">L239+L238</f>
        <v>1733333.3333333342</v>
      </c>
      <c r="M240" s="29">
        <f t="shared" ref="M240" si="434">M239+M238</f>
        <v>1700000.0000000009</v>
      </c>
      <c r="N240" s="29">
        <f t="shared" ref="N240" si="435">N239+N238</f>
        <v>1666666.6666666677</v>
      </c>
      <c r="O240" s="29">
        <f t="shared" ref="O240" si="436">O239+O238</f>
        <v>1633333.3333333344</v>
      </c>
      <c r="P240" s="29">
        <f t="shared" ref="P240" si="437">P239+P238</f>
        <v>1600000.0000000012</v>
      </c>
      <c r="Q240" s="29">
        <f t="shared" ref="Q240" si="438">Q239+Q238</f>
        <v>1566666.6666666679</v>
      </c>
      <c r="R240" s="29">
        <f t="shared" ref="R240" si="439">R239+R238</f>
        <v>1533333.3333333347</v>
      </c>
      <c r="S240" s="29">
        <f t="shared" ref="S240" si="440">S239+S238</f>
        <v>1500000.0000000014</v>
      </c>
      <c r="T240" s="29">
        <f t="shared" ref="T240" si="441">T239+T238</f>
        <v>1466666.6666666681</v>
      </c>
      <c r="U240" s="29">
        <f t="shared" ref="U240" si="442">U239+U238</f>
        <v>1433333.3333333349</v>
      </c>
      <c r="V240" s="29">
        <f t="shared" ref="V240" si="443">V239+V238</f>
        <v>1400000.0000000016</v>
      </c>
      <c r="W240" s="29">
        <f t="shared" ref="W240" si="444">W239+W238</f>
        <v>1366666.6666666684</v>
      </c>
      <c r="X240" s="29">
        <f t="shared" ref="X240" si="445">X239+X238</f>
        <v>1333333.3333333351</v>
      </c>
      <c r="Y240" s="29">
        <f t="shared" ref="Y240" si="446">Y239+Y238</f>
        <v>1300000.0000000019</v>
      </c>
      <c r="Z240" s="29">
        <f t="shared" ref="Z240" si="447">Z239+Z238</f>
        <v>1266666.6666666686</v>
      </c>
    </row>
    <row r="241" spans="3:21" hidden="1" outlineLevel="1" x14ac:dyDescent="0.3">
      <c r="C241" s="25" t="s">
        <v>145</v>
      </c>
      <c r="D241" s="26">
        <v>60</v>
      </c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</row>
    <row r="242" spans="3:21" hidden="1" outlineLevel="1" x14ac:dyDescent="0.3"/>
    <row r="244" spans="3:21" x14ac:dyDescent="0.3">
      <c r="C244" s="2" t="s">
        <v>153</v>
      </c>
      <c r="E244" s="4">
        <f>E249+E255-E274</f>
        <v>800000</v>
      </c>
    </row>
    <row r="245" spans="3:21" x14ac:dyDescent="0.3">
      <c r="C245" s="1" t="s">
        <v>154</v>
      </c>
      <c r="E245" s="32">
        <f>E250+E256-E275</f>
        <v>300000</v>
      </c>
    </row>
    <row r="246" spans="3:21" x14ac:dyDescent="0.3">
      <c r="C246" s="1" t="s">
        <v>155</v>
      </c>
    </row>
    <row r="247" spans="3:21" x14ac:dyDescent="0.3">
      <c r="C247" s="24" t="s">
        <v>156</v>
      </c>
      <c r="D247">
        <v>15</v>
      </c>
    </row>
    <row r="248" spans="3:21" x14ac:dyDescent="0.3">
      <c r="C248" s="24" t="s">
        <v>157</v>
      </c>
      <c r="E248" s="3">
        <f>D249</f>
        <v>400000</v>
      </c>
    </row>
    <row r="249" spans="3:21" x14ac:dyDescent="0.3">
      <c r="C249" s="24" t="s">
        <v>158</v>
      </c>
      <c r="D249" s="3">
        <v>400000</v>
      </c>
      <c r="E249" s="3">
        <f>-E5*D247/30</f>
        <v>800000</v>
      </c>
    </row>
    <row r="250" spans="3:21" x14ac:dyDescent="0.3">
      <c r="C250" s="24" t="s">
        <v>159</v>
      </c>
      <c r="E250" s="3">
        <f>E249-E248</f>
        <v>400000</v>
      </c>
    </row>
    <row r="252" spans="3:21" x14ac:dyDescent="0.3">
      <c r="C252" s="1" t="s">
        <v>160</v>
      </c>
    </row>
    <row r="253" spans="3:21" x14ac:dyDescent="0.3">
      <c r="C253" s="24" t="s">
        <v>161</v>
      </c>
    </row>
    <row r="254" spans="3:21" x14ac:dyDescent="0.3">
      <c r="C254" s="24" t="s">
        <v>162</v>
      </c>
      <c r="D254" s="3">
        <f>SUMIFS(D$258:D$268,$C$258:$C$268,$C254)</f>
        <v>0</v>
      </c>
      <c r="E254" s="3">
        <f t="shared" ref="E254:E255" si="448">SUMIFS(E$258:E$268,$C$258:$C$268,$C254)</f>
        <v>200000</v>
      </c>
    </row>
    <row r="255" spans="3:21" x14ac:dyDescent="0.3">
      <c r="C255" s="24" t="s">
        <v>163</v>
      </c>
      <c r="D255" s="3">
        <f>SUMIFS(D$258:D$268,$C$258:$C$268,$C255)</f>
        <v>200000</v>
      </c>
      <c r="E255" s="3">
        <f t="shared" si="448"/>
        <v>800000</v>
      </c>
    </row>
    <row r="256" spans="3:21" collapsed="1" x14ac:dyDescent="0.3">
      <c r="C256" s="24" t="s">
        <v>164</v>
      </c>
      <c r="E256" s="3">
        <f>SUMIFS(E$258:E$268,$C$258:$C$268,$C256)</f>
        <v>600000</v>
      </c>
    </row>
    <row r="257" spans="3:5" hidden="1" outlineLevel="1" x14ac:dyDescent="0.3"/>
    <row r="258" spans="3:5" hidden="1" outlineLevel="1" x14ac:dyDescent="0.3">
      <c r="C258" s="1" t="s">
        <v>165</v>
      </c>
    </row>
    <row r="259" spans="3:5" hidden="1" outlineLevel="1" x14ac:dyDescent="0.3">
      <c r="C259" s="24" t="s">
        <v>161</v>
      </c>
      <c r="D259">
        <v>15</v>
      </c>
    </row>
    <row r="260" spans="3:5" hidden="1" outlineLevel="1" x14ac:dyDescent="0.3">
      <c r="C260" s="24" t="s">
        <v>162</v>
      </c>
      <c r="D260" s="3"/>
      <c r="E260" s="3">
        <f>D261</f>
        <v>200000</v>
      </c>
    </row>
    <row r="261" spans="3:5" hidden="1" outlineLevel="1" x14ac:dyDescent="0.3">
      <c r="C261" s="24" t="s">
        <v>163</v>
      </c>
      <c r="D261" s="3">
        <v>200000</v>
      </c>
      <c r="E261" s="3">
        <f>-E4*D259/30</f>
        <v>800000</v>
      </c>
    </row>
    <row r="262" spans="3:5" hidden="1" outlineLevel="1" x14ac:dyDescent="0.3">
      <c r="C262" s="24" t="s">
        <v>164</v>
      </c>
      <c r="E262" s="3">
        <f>E261-E260</f>
        <v>600000</v>
      </c>
    </row>
    <row r="263" spans="3:5" hidden="1" outlineLevel="1" x14ac:dyDescent="0.3"/>
    <row r="264" spans="3:5" hidden="1" outlineLevel="1" x14ac:dyDescent="0.3">
      <c r="C264" s="1" t="s">
        <v>166</v>
      </c>
    </row>
    <row r="265" spans="3:5" hidden="1" outlineLevel="1" x14ac:dyDescent="0.3">
      <c r="C265" s="24" t="s">
        <v>161</v>
      </c>
      <c r="D265">
        <v>0</v>
      </c>
    </row>
    <row r="266" spans="3:5" hidden="1" outlineLevel="1" x14ac:dyDescent="0.3">
      <c r="C266" s="24" t="s">
        <v>162</v>
      </c>
      <c r="D266" s="3"/>
      <c r="E266" s="3">
        <f>D267</f>
        <v>0</v>
      </c>
    </row>
    <row r="267" spans="3:5" hidden="1" outlineLevel="1" x14ac:dyDescent="0.3">
      <c r="C267" s="24" t="s">
        <v>163</v>
      </c>
      <c r="D267" s="3">
        <v>0</v>
      </c>
      <c r="E267" s="3">
        <f>-E4*D265/30</f>
        <v>0</v>
      </c>
    </row>
    <row r="268" spans="3:5" hidden="1" outlineLevel="1" x14ac:dyDescent="0.3">
      <c r="C268" s="24" t="s">
        <v>164</v>
      </c>
      <c r="E268" s="3">
        <f>E267-E266</f>
        <v>0</v>
      </c>
    </row>
    <row r="269" spans="3:5" hidden="1" outlineLevel="1" x14ac:dyDescent="0.3"/>
    <row r="271" spans="3:5" x14ac:dyDescent="0.3">
      <c r="C271" s="1" t="s">
        <v>167</v>
      </c>
    </row>
    <row r="272" spans="3:5" x14ac:dyDescent="0.3">
      <c r="C272" s="24" t="s">
        <v>168</v>
      </c>
    </row>
    <row r="273" spans="3:8" x14ac:dyDescent="0.3">
      <c r="C273" s="24" t="s">
        <v>169</v>
      </c>
      <c r="D273" s="3">
        <f>SUMIFS(D$277:D$287,$C$277:$C$287,$C273)</f>
        <v>0</v>
      </c>
      <c r="E273" s="3">
        <f>SUMIFS(E$277:E$287,$C$277:$C$287,$C273)</f>
        <v>100000</v>
      </c>
    </row>
    <row r="274" spans="3:8" x14ac:dyDescent="0.3">
      <c r="C274" s="24" t="s">
        <v>170</v>
      </c>
      <c r="D274" s="3">
        <f>SUMIFS(D$277:D$287,$C$277:$C$287,$C274)</f>
        <v>100000</v>
      </c>
      <c r="E274" s="3">
        <f>SUMIFS(E$277:E$287,$C$277:$C$287,$C274)</f>
        <v>800000</v>
      </c>
    </row>
    <row r="275" spans="3:8" collapsed="1" x14ac:dyDescent="0.3">
      <c r="C275" s="24" t="s">
        <v>171</v>
      </c>
      <c r="E275" s="3">
        <f>SUMIFS(E$277:E$287,$C$277:$C$287,$C275)</f>
        <v>700000</v>
      </c>
    </row>
    <row r="276" spans="3:8" hidden="1" outlineLevel="1" x14ac:dyDescent="0.3"/>
    <row r="277" spans="3:8" hidden="1" outlineLevel="1" x14ac:dyDescent="0.3">
      <c r="C277" s="1" t="s">
        <v>172</v>
      </c>
    </row>
    <row r="278" spans="3:8" hidden="1" outlineLevel="1" x14ac:dyDescent="0.3">
      <c r="C278" s="24" t="s">
        <v>168</v>
      </c>
      <c r="D278">
        <v>0</v>
      </c>
    </row>
    <row r="279" spans="3:8" hidden="1" outlineLevel="1" x14ac:dyDescent="0.3">
      <c r="C279" s="24" t="s">
        <v>169</v>
      </c>
      <c r="D279" s="3"/>
      <c r="E279" s="3">
        <f>D280</f>
        <v>50000</v>
      </c>
      <c r="F279" s="3"/>
      <c r="G279" s="3"/>
      <c r="H279" s="3"/>
    </row>
    <row r="280" spans="3:8" hidden="1" outlineLevel="1" x14ac:dyDescent="0.3">
      <c r="C280" s="24" t="s">
        <v>170</v>
      </c>
      <c r="D280" s="3">
        <v>50000</v>
      </c>
      <c r="E280" s="3">
        <f>-E5*D278/30</f>
        <v>0</v>
      </c>
      <c r="F280" s="3"/>
      <c r="G280" s="3"/>
      <c r="H280" s="3"/>
    </row>
    <row r="281" spans="3:8" hidden="1" outlineLevel="1" x14ac:dyDescent="0.3">
      <c r="C281" s="24" t="s">
        <v>171</v>
      </c>
      <c r="E281" s="3">
        <f>E280-E279</f>
        <v>-50000</v>
      </c>
    </row>
    <row r="282" spans="3:8" hidden="1" outlineLevel="1" x14ac:dyDescent="0.3"/>
    <row r="283" spans="3:8" hidden="1" outlineLevel="1" x14ac:dyDescent="0.3">
      <c r="C283" s="1" t="s">
        <v>173</v>
      </c>
    </row>
    <row r="284" spans="3:8" hidden="1" outlineLevel="1" x14ac:dyDescent="0.3">
      <c r="C284" s="24" t="s">
        <v>168</v>
      </c>
      <c r="D284">
        <v>15</v>
      </c>
      <c r="E284" s="3"/>
    </row>
    <row r="285" spans="3:8" hidden="1" outlineLevel="1" x14ac:dyDescent="0.3">
      <c r="C285" s="24" t="s">
        <v>169</v>
      </c>
      <c r="D285" s="3"/>
      <c r="E285" s="3">
        <f>D286</f>
        <v>50000</v>
      </c>
    </row>
    <row r="286" spans="3:8" hidden="1" outlineLevel="1" x14ac:dyDescent="0.3">
      <c r="C286" s="24" t="s">
        <v>170</v>
      </c>
      <c r="D286" s="3">
        <v>50000</v>
      </c>
      <c r="E286" s="3">
        <f>-E4*D284/30</f>
        <v>800000</v>
      </c>
    </row>
    <row r="287" spans="3:8" hidden="1" outlineLevel="1" x14ac:dyDescent="0.3">
      <c r="C287" s="24" t="s">
        <v>171</v>
      </c>
      <c r="D287" s="3"/>
      <c r="E287" s="3">
        <f>E286-E285</f>
        <v>750000</v>
      </c>
    </row>
    <row r="290" spans="3:16" x14ac:dyDescent="0.3">
      <c r="C290" s="2" t="s">
        <v>174</v>
      </c>
    </row>
    <row r="292" spans="3:16" x14ac:dyDescent="0.3">
      <c r="C292" t="s">
        <v>175</v>
      </c>
      <c r="E292">
        <v>0</v>
      </c>
    </row>
    <row r="293" spans="3:16" x14ac:dyDescent="0.3">
      <c r="C293" s="1" t="s">
        <v>176</v>
      </c>
      <c r="E293" s="3">
        <f>E64+SUM(E102:E104)-E245</f>
        <v>3155000</v>
      </c>
    </row>
    <row r="294" spans="3:16" x14ac:dyDescent="0.3">
      <c r="C294" s="1" t="s">
        <v>177</v>
      </c>
      <c r="E294" s="3">
        <f>E110</f>
        <v>-1343639.89</v>
      </c>
    </row>
    <row r="295" spans="3:16" x14ac:dyDescent="0.3">
      <c r="C295" s="1" t="s">
        <v>178</v>
      </c>
      <c r="E295" s="3">
        <f>E191</f>
        <v>0</v>
      </c>
    </row>
    <row r="296" spans="3:16" x14ac:dyDescent="0.3">
      <c r="C296" s="1" t="s">
        <v>179</v>
      </c>
      <c r="E296" s="3">
        <f>SUM(E293:E295)</f>
        <v>1811360.11</v>
      </c>
    </row>
    <row r="297" spans="3:16" x14ac:dyDescent="0.3">
      <c r="C297" t="s">
        <v>180</v>
      </c>
      <c r="E297" s="3">
        <f>E292+E296</f>
        <v>1811360.11</v>
      </c>
    </row>
    <row r="301" spans="3:16" x14ac:dyDescent="0.3">
      <c r="C301" s="2" t="s">
        <v>181</v>
      </c>
    </row>
    <row r="303" spans="3:16" x14ac:dyDescent="0.3">
      <c r="C303" s="2" t="s">
        <v>182</v>
      </c>
      <c r="E303" s="4">
        <f>SUM(E304:E308)</f>
        <v>24553026.776666667</v>
      </c>
      <c r="F303" s="4">
        <f t="shared" ref="F303:J303" si="449">SUM(F304:F308)</f>
        <v>19333333.333333332</v>
      </c>
      <c r="G303" s="4">
        <f t="shared" si="449"/>
        <v>19000000</v>
      </c>
      <c r="H303" s="4">
        <f t="shared" si="449"/>
        <v>18666666.666666668</v>
      </c>
      <c r="I303" s="4">
        <f t="shared" si="449"/>
        <v>18333333.333333336</v>
      </c>
      <c r="J303" s="4">
        <f t="shared" si="449"/>
        <v>18000000</v>
      </c>
    </row>
    <row r="304" spans="3:16" x14ac:dyDescent="0.3">
      <c r="C304" t="s">
        <v>185</v>
      </c>
      <c r="E304" s="3">
        <f>E198</f>
        <v>21141666.666666668</v>
      </c>
      <c r="F304" s="3">
        <f t="shared" ref="F304:P304" si="450">F198</f>
        <v>19333333.333333332</v>
      </c>
      <c r="G304" s="3">
        <f t="shared" si="450"/>
        <v>19000000</v>
      </c>
      <c r="H304" s="3">
        <f t="shared" si="450"/>
        <v>18666666.666666668</v>
      </c>
      <c r="I304" s="3">
        <f t="shared" si="450"/>
        <v>18333333.333333336</v>
      </c>
      <c r="J304" s="3">
        <f t="shared" si="450"/>
        <v>18000000</v>
      </c>
      <c r="K304" s="3">
        <f t="shared" si="450"/>
        <v>17666666.666666668</v>
      </c>
      <c r="L304" s="3">
        <f t="shared" si="450"/>
        <v>17333333.333333336</v>
      </c>
      <c r="M304" s="3">
        <f t="shared" si="450"/>
        <v>17000000</v>
      </c>
      <c r="N304" s="31">
        <f t="shared" si="450"/>
        <v>16666666.666666668</v>
      </c>
      <c r="O304" s="31">
        <f t="shared" si="450"/>
        <v>16333333.333333334</v>
      </c>
      <c r="P304" s="31">
        <f t="shared" si="450"/>
        <v>16000000.000000002</v>
      </c>
    </row>
    <row r="305" spans="3:14" x14ac:dyDescent="0.3">
      <c r="C305" s="28" t="s">
        <v>186</v>
      </c>
      <c r="E305" s="3">
        <f>E297</f>
        <v>1811360.11</v>
      </c>
      <c r="F305" s="3">
        <f t="shared" ref="F305:N305" si="451">F297</f>
        <v>0</v>
      </c>
      <c r="G305" s="3">
        <f t="shared" si="451"/>
        <v>0</v>
      </c>
      <c r="H305" s="3">
        <f t="shared" si="451"/>
        <v>0</v>
      </c>
      <c r="I305" s="3">
        <f t="shared" si="451"/>
        <v>0</v>
      </c>
      <c r="J305" s="3">
        <f t="shared" si="451"/>
        <v>0</v>
      </c>
      <c r="K305" s="3">
        <f t="shared" si="451"/>
        <v>0</v>
      </c>
      <c r="L305" s="3">
        <f t="shared" si="451"/>
        <v>0</v>
      </c>
      <c r="M305" s="3">
        <f t="shared" si="451"/>
        <v>0</v>
      </c>
      <c r="N305">
        <f t="shared" si="451"/>
        <v>0</v>
      </c>
    </row>
    <row r="306" spans="3:14" x14ac:dyDescent="0.3">
      <c r="C306" s="28" t="s">
        <v>155</v>
      </c>
      <c r="E306" s="3">
        <f>E249</f>
        <v>800000</v>
      </c>
      <c r="F306" s="3">
        <f t="shared" ref="F306:J306" si="452">F249</f>
        <v>0</v>
      </c>
      <c r="G306" s="3">
        <f t="shared" si="452"/>
        <v>0</v>
      </c>
      <c r="H306" s="3">
        <f t="shared" si="452"/>
        <v>0</v>
      </c>
      <c r="I306" s="3">
        <f t="shared" si="452"/>
        <v>0</v>
      </c>
      <c r="J306" s="3">
        <f t="shared" si="452"/>
        <v>0</v>
      </c>
    </row>
    <row r="307" spans="3:14" x14ac:dyDescent="0.3">
      <c r="C307" s="28" t="s">
        <v>160</v>
      </c>
      <c r="E307" s="3">
        <f>E255</f>
        <v>800000</v>
      </c>
      <c r="F307" s="3">
        <f t="shared" ref="F307:J307" si="453">F255</f>
        <v>0</v>
      </c>
      <c r="G307" s="3">
        <f t="shared" si="453"/>
        <v>0</v>
      </c>
      <c r="H307" s="3">
        <f t="shared" si="453"/>
        <v>0</v>
      </c>
      <c r="I307" s="3">
        <f t="shared" si="453"/>
        <v>0</v>
      </c>
      <c r="J307" s="3">
        <f t="shared" si="453"/>
        <v>0</v>
      </c>
    </row>
    <row r="311" spans="3:14" x14ac:dyDescent="0.3">
      <c r="C311" s="2" t="s">
        <v>184</v>
      </c>
      <c r="E311" s="4">
        <f>SUM(E312:E313)</f>
        <v>42233864.57</v>
      </c>
      <c r="F311" s="4">
        <f t="shared" ref="F311:J311" si="454">SUM(F312:F313)</f>
        <v>0</v>
      </c>
      <c r="G311" s="4">
        <f t="shared" si="454"/>
        <v>0</v>
      </c>
      <c r="H311" s="4">
        <f t="shared" si="454"/>
        <v>0</v>
      </c>
      <c r="I311" s="4">
        <f t="shared" si="454"/>
        <v>0</v>
      </c>
      <c r="J311" s="4">
        <f t="shared" si="454"/>
        <v>0</v>
      </c>
    </row>
    <row r="312" spans="3:14" x14ac:dyDescent="0.3">
      <c r="C312" t="s">
        <v>189</v>
      </c>
      <c r="E312" s="3">
        <f>E115+E153</f>
        <v>41433864.57</v>
      </c>
    </row>
    <row r="313" spans="3:14" x14ac:dyDescent="0.3">
      <c r="C313" t="s">
        <v>167</v>
      </c>
      <c r="E313" s="3">
        <f>E274</f>
        <v>800000</v>
      </c>
    </row>
    <row r="315" spans="3:14" x14ac:dyDescent="0.3">
      <c r="C315" s="2" t="s">
        <v>183</v>
      </c>
      <c r="E315" s="4">
        <f>SUM(E316:E318)</f>
        <v>3455000</v>
      </c>
      <c r="F315" s="4">
        <f t="shared" ref="F315:J315" si="455">SUM(F316:F318)</f>
        <v>0</v>
      </c>
      <c r="G315" s="4">
        <f t="shared" si="455"/>
        <v>0</v>
      </c>
      <c r="H315" s="4">
        <f t="shared" si="455"/>
        <v>0</v>
      </c>
      <c r="I315" s="4">
        <f t="shared" si="455"/>
        <v>0</v>
      </c>
      <c r="J315" s="4">
        <f t="shared" si="455"/>
        <v>0</v>
      </c>
    </row>
    <row r="316" spans="3:14" x14ac:dyDescent="0.3">
      <c r="C316" t="s">
        <v>187</v>
      </c>
    </row>
    <row r="317" spans="3:14" x14ac:dyDescent="0.3">
      <c r="C317" t="s">
        <v>188</v>
      </c>
      <c r="E317" s="3">
        <f>E108</f>
        <v>3455000</v>
      </c>
    </row>
    <row r="318" spans="3:14" x14ac:dyDescent="0.3">
      <c r="C318" t="s">
        <v>137</v>
      </c>
      <c r="E318">
        <f>E189</f>
        <v>0</v>
      </c>
    </row>
    <row r="323" spans="3:5" x14ac:dyDescent="0.3">
      <c r="C323" t="s">
        <v>193</v>
      </c>
    </row>
    <row r="324" spans="3:5" x14ac:dyDescent="0.3">
      <c r="C324" t="s">
        <v>195</v>
      </c>
      <c r="E324" s="3">
        <f>-SUMIFS(E$2:E$319,$A$2:$A$319,"z")</f>
        <v>1270000</v>
      </c>
    </row>
    <row r="350" spans="3:12" x14ac:dyDescent="0.3">
      <c r="C350" t="s">
        <v>8</v>
      </c>
      <c r="E350" t="s">
        <v>11</v>
      </c>
      <c r="K350" t="s">
        <v>30</v>
      </c>
    </row>
    <row r="351" spans="3:12" x14ac:dyDescent="0.3">
      <c r="C351" t="s">
        <v>12</v>
      </c>
      <c r="E351" t="s">
        <v>13</v>
      </c>
      <c r="K351" t="s">
        <v>31</v>
      </c>
      <c r="L351" t="s">
        <v>33</v>
      </c>
    </row>
    <row r="352" spans="3:12" x14ac:dyDescent="0.3">
      <c r="C352" t="s">
        <v>9</v>
      </c>
      <c r="E352" t="s">
        <v>14</v>
      </c>
      <c r="K352" t="s">
        <v>32</v>
      </c>
    </row>
    <row r="354" spans="3:3" x14ac:dyDescent="0.3">
      <c r="C354" t="s">
        <v>10</v>
      </c>
    </row>
    <row r="358" spans="3:3" x14ac:dyDescent="0.3">
      <c r="C358" t="s">
        <v>16</v>
      </c>
    </row>
    <row r="359" spans="3:3" x14ac:dyDescent="0.3">
      <c r="C359" t="s">
        <v>17</v>
      </c>
    </row>
    <row r="361" spans="3:3" x14ac:dyDescent="0.3">
      <c r="C361" t="s">
        <v>18</v>
      </c>
    </row>
    <row r="362" spans="3:3" x14ac:dyDescent="0.3">
      <c r="C362" t="s">
        <v>19</v>
      </c>
    </row>
    <row r="363" spans="3:3" x14ac:dyDescent="0.3">
      <c r="C363" t="s">
        <v>20</v>
      </c>
    </row>
    <row r="364" spans="3:3" x14ac:dyDescent="0.3">
      <c r="C364" t="s">
        <v>26</v>
      </c>
    </row>
    <row r="365" spans="3:3" x14ac:dyDescent="0.3">
      <c r="C365" t="s">
        <v>21</v>
      </c>
    </row>
    <row r="366" spans="3:3" x14ac:dyDescent="0.3">
      <c r="C366" t="s">
        <v>22</v>
      </c>
    </row>
    <row r="367" spans="3:3" x14ac:dyDescent="0.3">
      <c r="C367" t="s">
        <v>23</v>
      </c>
    </row>
    <row r="368" spans="3:3" x14ac:dyDescent="0.3">
      <c r="C368" t="s">
        <v>24</v>
      </c>
    </row>
    <row r="369" spans="3:3" x14ac:dyDescent="0.3">
      <c r="C369" t="s">
        <v>25</v>
      </c>
    </row>
    <row r="371" spans="3:3" x14ac:dyDescent="0.3">
      <c r="C371" t="s">
        <v>27</v>
      </c>
    </row>
    <row r="372" spans="3:3" x14ac:dyDescent="0.3">
      <c r="C372" t="s">
        <v>28</v>
      </c>
    </row>
    <row r="373" spans="3:3" x14ac:dyDescent="0.3">
      <c r="C373" t="s">
        <v>29</v>
      </c>
    </row>
  </sheetData>
  <phoneticPr fontId="4" type="noConversion"/>
  <conditionalFormatting sqref="E297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Baev</dc:creator>
  <cp:lastModifiedBy>Baev</cp:lastModifiedBy>
  <dcterms:created xsi:type="dcterms:W3CDTF">2026-03-10T07:48:16Z</dcterms:created>
  <dcterms:modified xsi:type="dcterms:W3CDTF">2026-03-11T15:31:56Z</dcterms:modified>
</cp:coreProperties>
</file>